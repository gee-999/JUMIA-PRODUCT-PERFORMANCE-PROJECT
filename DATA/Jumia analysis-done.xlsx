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kb\Downloads\"/>
    </mc:Choice>
  </mc:AlternateContent>
  <xr:revisionPtr revIDLastSave="0" documentId="13_ncr:1_{10F9F12E-D427-4DCC-86FB-D87AA9F06296}" xr6:coauthVersionLast="47" xr6:coauthVersionMax="47" xr10:uidLastSave="{00000000-0000-0000-0000-000000000000}"/>
  <bookViews>
    <workbookView xWindow="-90" yWindow="0" windowWidth="9780" windowHeight="10890" firstSheet="2" activeTab="2" xr2:uid="{5466FD81-8932-41E9-B8CE-A7A47AB4EC2E}"/>
  </bookViews>
  <sheets>
    <sheet name="Excel_jumia_dataset (1)" sheetId="1" r:id="rId1"/>
    <sheet name="CLEANED" sheetId="2" r:id="rId2"/>
    <sheet name="analysis sheet" sheetId="4" r:id="rId3"/>
    <sheet name="Pivot table" sheetId="13" r:id="rId4"/>
    <sheet name="DASHBOARD" sheetId="9" r:id="rId5"/>
    <sheet name="data dictonary" sheetId="3" r:id="rId6"/>
  </sheets>
  <definedNames>
    <definedName name="_xlnm._FilterDatabase" localSheetId="1" hidden="1">CLEANED!$A$1:$L$120</definedName>
    <definedName name="Price_Q1">'analysis sheet'!$B$2</definedName>
    <definedName name="Price_Q3">'analysis sheet'!$B$3</definedName>
    <definedName name="Review_Q3">'analysis sheet'!$B$7</definedName>
    <definedName name="Slicer_Discount_Category">#N/A</definedName>
    <definedName name="Slicer_Price_Category">#N/A</definedName>
    <definedName name="Slicer_Rating_Category">#N/A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4" l="1"/>
  <c r="E31" i="4"/>
  <c r="O3" i="2"/>
  <c r="O2" i="2"/>
  <c r="I2" i="2"/>
  <c r="I4" i="2"/>
  <c r="B13" i="4"/>
  <c r="A7" i="9"/>
  <c r="A99" i="4"/>
  <c r="E67" i="4"/>
  <c r="E46" i="4"/>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B23" i="4"/>
  <c r="B22" i="4"/>
  <c r="B19" i="4"/>
  <c r="B18" i="4"/>
  <c r="B12" i="4"/>
  <c r="B17" i="4"/>
  <c r="B16" i="4"/>
  <c r="B15" i="4"/>
  <c r="B14" i="4"/>
  <c r="K23" i="2"/>
  <c r="K31" i="2"/>
  <c r="K41" i="2"/>
  <c r="K42" i="2"/>
  <c r="K43" i="2"/>
  <c r="K44" i="2"/>
  <c r="K45" i="2"/>
  <c r="K46" i="2"/>
  <c r="K47" i="2"/>
  <c r="K48" i="2"/>
  <c r="K49" i="2"/>
  <c r="K50" i="2"/>
  <c r="K51" i="2"/>
  <c r="K52" i="2"/>
  <c r="K53" i="2"/>
  <c r="K54" i="2"/>
  <c r="K55" i="2"/>
  <c r="K56" i="2"/>
  <c r="K57" i="2"/>
  <c r="K58" i="2"/>
  <c r="K59" i="2"/>
  <c r="K75" i="2"/>
  <c r="K76" i="2"/>
  <c r="K77" i="2"/>
  <c r="K78" i="2"/>
  <c r="K81" i="2"/>
  <c r="K82" i="2"/>
  <c r="K84" i="2"/>
  <c r="K85" i="2"/>
  <c r="K86" i="2"/>
  <c r="K87" i="2"/>
  <c r="K88" i="2"/>
  <c r="K89" i="2"/>
  <c r="K90" i="2"/>
  <c r="K91" i="2"/>
  <c r="K92" i="2"/>
  <c r="K93" i="2"/>
  <c r="K94" i="2"/>
  <c r="K95" i="2"/>
  <c r="K96" i="2"/>
  <c r="K97" i="2"/>
  <c r="K98" i="2"/>
  <c r="K99" i="2"/>
  <c r="K100" i="2"/>
  <c r="K101" i="2"/>
  <c r="K102" i="2"/>
  <c r="K104" i="2"/>
  <c r="K105" i="2"/>
  <c r="K106" i="2"/>
  <c r="K107" i="2"/>
  <c r="K108" i="2"/>
  <c r="K109" i="2"/>
  <c r="K110" i="2"/>
  <c r="K111" i="2"/>
  <c r="K113" i="2"/>
  <c r="I3"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N2" i="2"/>
  <c r="N23" i="2"/>
  <c r="N5"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B7" i="4"/>
  <c r="K2" i="2" s="1"/>
  <c r="B2" i="4"/>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2" i="2"/>
  <c r="N3" i="2"/>
  <c r="N4" i="2"/>
  <c r="N6" i="2"/>
  <c r="N7" i="2"/>
  <c r="N8" i="2"/>
  <c r="N9" i="2"/>
  <c r="N10" i="2"/>
  <c r="N11" i="2"/>
  <c r="N12" i="2"/>
  <c r="N13" i="2"/>
  <c r="N14" i="2"/>
  <c r="N15" i="2"/>
  <c r="N16" i="2"/>
  <c r="N17" i="2"/>
  <c r="N18" i="2"/>
  <c r="N19" i="2"/>
  <c r="N20" i="2"/>
  <c r="N21" i="2"/>
  <c r="N22"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K38" i="2" l="1"/>
  <c r="K30" i="2"/>
  <c r="K70" i="2"/>
  <c r="K83" i="2"/>
  <c r="K62" i="2"/>
  <c r="K22" i="2"/>
  <c r="K6" i="2"/>
  <c r="K103" i="2"/>
  <c r="K79" i="2"/>
  <c r="K71" i="2"/>
  <c r="K63" i="2"/>
  <c r="K39" i="2"/>
  <c r="K15" i="2"/>
  <c r="K7" i="2"/>
  <c r="K69" i="2"/>
  <c r="K61" i="2"/>
  <c r="K37" i="2"/>
  <c r="K29" i="2"/>
  <c r="K21" i="2"/>
  <c r="K13" i="2"/>
  <c r="K5" i="2"/>
  <c r="K14" i="2"/>
  <c r="K68" i="2"/>
  <c r="K60" i="2"/>
  <c r="K36" i="2"/>
  <c r="K28" i="2"/>
  <c r="K20" i="2"/>
  <c r="K12" i="2"/>
  <c r="K4" i="2"/>
  <c r="K67" i="2"/>
  <c r="K35" i="2"/>
  <c r="K27" i="2"/>
  <c r="K19" i="2"/>
  <c r="K11" i="2"/>
  <c r="K3" i="2"/>
  <c r="K74" i="2"/>
  <c r="K66" i="2"/>
  <c r="K34" i="2"/>
  <c r="K26" i="2"/>
  <c r="K18" i="2"/>
  <c r="K10" i="2"/>
  <c r="K73" i="2"/>
  <c r="K65" i="2"/>
  <c r="K33" i="2"/>
  <c r="K25" i="2"/>
  <c r="K17" i="2"/>
  <c r="K9" i="2"/>
  <c r="K112" i="2"/>
  <c r="K80" i="2"/>
  <c r="K72" i="2"/>
  <c r="K64" i="2"/>
  <c r="K40" i="2"/>
  <c r="K32" i="2"/>
  <c r="K24" i="2"/>
  <c r="K16" i="2"/>
  <c r="K8" i="2"/>
  <c r="E2" i="2"/>
  <c r="E96" i="2"/>
  <c r="E73" i="2"/>
  <c r="E54" i="2"/>
  <c r="E30" i="2"/>
  <c r="E80" i="2"/>
  <c r="E113" i="2"/>
  <c r="E94" i="2"/>
  <c r="E72" i="2"/>
  <c r="E49" i="2"/>
  <c r="E25" i="2"/>
  <c r="E102" i="2"/>
  <c r="E112" i="2"/>
  <c r="E89" i="2"/>
  <c r="E70" i="2"/>
  <c r="E48" i="2"/>
  <c r="E24" i="2"/>
  <c r="E33" i="2"/>
  <c r="E110" i="2"/>
  <c r="E88" i="2"/>
  <c r="E65" i="2"/>
  <c r="E46" i="2"/>
  <c r="E16" i="2"/>
  <c r="E105" i="2"/>
  <c r="E86" i="2"/>
  <c r="E64" i="2"/>
  <c r="E41" i="2"/>
  <c r="E8" i="2"/>
  <c r="E104" i="2"/>
  <c r="E81" i="2"/>
  <c r="E62" i="2"/>
  <c r="E40" i="2"/>
  <c r="E6" i="2"/>
  <c r="E57" i="2"/>
  <c r="E97" i="2"/>
  <c r="E78" i="2"/>
  <c r="E56" i="2"/>
  <c r="E32" i="2"/>
  <c r="E9" i="2"/>
  <c r="E111" i="2"/>
  <c r="E103" i="2"/>
  <c r="E95" i="2"/>
  <c r="E87" i="2"/>
  <c r="E79" i="2"/>
  <c r="E71" i="2"/>
  <c r="E63" i="2"/>
  <c r="E55" i="2"/>
  <c r="E47" i="2"/>
  <c r="E39" i="2"/>
  <c r="E31" i="2"/>
  <c r="E23" i="2"/>
  <c r="E15" i="2"/>
  <c r="E7" i="2"/>
  <c r="E14" i="2"/>
  <c r="E109" i="2"/>
  <c r="E101" i="2"/>
  <c r="E93" i="2"/>
  <c r="E85" i="2"/>
  <c r="E77" i="2"/>
  <c r="E69" i="2"/>
  <c r="E61" i="2"/>
  <c r="E53" i="2"/>
  <c r="E45" i="2"/>
  <c r="E37" i="2"/>
  <c r="E29" i="2"/>
  <c r="E21" i="2"/>
  <c r="E13" i="2"/>
  <c r="E5" i="2"/>
  <c r="E108" i="2"/>
  <c r="E100" i="2"/>
  <c r="E92" i="2"/>
  <c r="E84" i="2"/>
  <c r="E76" i="2"/>
  <c r="E68" i="2"/>
  <c r="E60" i="2"/>
  <c r="E52" i="2"/>
  <c r="E44" i="2"/>
  <c r="E36" i="2"/>
  <c r="E28" i="2"/>
  <c r="E20" i="2"/>
  <c r="E12" i="2"/>
  <c r="E4" i="2"/>
  <c r="E38" i="2"/>
  <c r="E22" i="2"/>
  <c r="E107" i="2"/>
  <c r="E99" i="2"/>
  <c r="E91" i="2"/>
  <c r="E83" i="2"/>
  <c r="E75" i="2"/>
  <c r="E67" i="2"/>
  <c r="E59" i="2"/>
  <c r="E51" i="2"/>
  <c r="E43" i="2"/>
  <c r="E35" i="2"/>
  <c r="E27" i="2"/>
  <c r="E19" i="2"/>
  <c r="E11" i="2"/>
  <c r="E3" i="2"/>
  <c r="E106" i="2"/>
  <c r="E98" i="2"/>
  <c r="E90" i="2"/>
  <c r="E82" i="2"/>
  <c r="E74" i="2"/>
  <c r="E66" i="2"/>
  <c r="E58" i="2"/>
  <c r="E50" i="2"/>
  <c r="E42" i="2"/>
  <c r="E34" i="2"/>
  <c r="E26" i="2"/>
  <c r="E18" i="2"/>
  <c r="E10" i="2"/>
  <c r="E1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kb</author>
  </authors>
  <commentList>
    <comment ref="I1" authorId="0" shapeId="0" xr:uid="{8090D539-1B52-492A-8699-BF2EF2370B81}">
      <text>
        <r>
          <rPr>
            <b/>
            <sz val="9"/>
            <color indexed="81"/>
            <rFont val="Tahoma"/>
            <family val="2"/>
          </rPr>
          <t>kb:</t>
        </r>
        <r>
          <rPr>
            <sz val="9"/>
            <color indexed="81"/>
            <rFont val="Tahoma"/>
            <family val="2"/>
          </rPr>
          <t xml:space="preserve">
Added a threshhold to the category where 20% and bellow stands for low discount, &gt;20 but&lt;=40 stands for medium discount, and a &gt;40%=High Discount</t>
        </r>
      </text>
    </comment>
    <comment ref="K1" authorId="0" shapeId="0" xr:uid="{D690ED9D-0475-4083-AADD-3291E666DD2D}">
      <text>
        <r>
          <rPr>
            <b/>
            <sz val="9"/>
            <color indexed="81"/>
            <rFont val="Tahoma"/>
            <family val="2"/>
          </rPr>
          <t>kb:</t>
        </r>
        <r>
          <rPr>
            <sz val="9"/>
            <color indexed="81"/>
            <rFont val="Tahoma"/>
            <family val="2"/>
          </rPr>
          <t xml:space="preserve">
Calculated a defined threshhold using the third  Quartile (Q3)=75% percentile.
Any rating above the Review Q3 which is 15 reviews is tagged as a Strong Customer Engagement. Anything below it is a low engagement, Missing value were tagged as missing entries.</t>
        </r>
      </text>
    </comment>
    <comment ref="N1" authorId="0" shapeId="0" xr:uid="{EB7D4E78-EDF0-4AEA-8249-90DE1EEE5B5C}">
      <text>
        <r>
          <rPr>
            <b/>
            <sz val="9"/>
            <color indexed="81"/>
            <rFont val="Tahoma"/>
            <family val="2"/>
          </rPr>
          <t>kb:</t>
        </r>
        <r>
          <rPr>
            <sz val="9"/>
            <color indexed="81"/>
            <rFont val="Tahoma"/>
            <family val="2"/>
          </rPr>
          <t xml:space="preserve">
With a rating of out of 5 the threshold of any rating &lt;3 as poor  and &lt;4.5 as Average rating, anything, above 4.5 =Excellent, blank cells were marked missing.</t>
        </r>
      </text>
    </comment>
    <comment ref="E2" authorId="0" shapeId="0" xr:uid="{A938F12F-72E3-4B1D-9D73-213BCE530B16}">
      <text>
        <r>
          <rPr>
            <b/>
            <sz val="9"/>
            <color indexed="81"/>
            <rFont val="Tahoma"/>
            <family val="2"/>
          </rPr>
          <t>kb:</t>
        </r>
        <r>
          <rPr>
            <sz val="9"/>
            <color indexed="81"/>
            <rFont val="Tahoma"/>
            <family val="2"/>
          </rPr>
          <t xml:space="preserve">
Created a definable threshhold for price category using Quartiles.
Our </t>
        </r>
        <r>
          <rPr>
            <b/>
            <sz val="9"/>
            <color indexed="81"/>
            <rFont val="Tahoma"/>
            <family val="2"/>
          </rPr>
          <t>Price_Q1=493</t>
        </r>
        <r>
          <rPr>
            <sz val="9"/>
            <color indexed="81"/>
            <rFont val="Tahoma"/>
            <family val="2"/>
          </rPr>
          <t xml:space="preserve"> and </t>
        </r>
        <r>
          <rPr>
            <b/>
            <sz val="9"/>
            <color indexed="81"/>
            <rFont val="Tahoma"/>
            <family val="2"/>
          </rPr>
          <t>Price_Q3=1669.5</t>
        </r>
      </text>
    </comment>
    <comment ref="K6" authorId="0" shapeId="0" xr:uid="{34529430-6AA3-4520-9A9D-EDDF722F1EF9}">
      <text>
        <r>
          <rPr>
            <b/>
            <sz val="9"/>
            <color indexed="81"/>
            <rFont val="Tahoma"/>
            <charset val="1"/>
          </rPr>
          <t>kb:</t>
        </r>
        <r>
          <rPr>
            <sz val="9"/>
            <color indexed="81"/>
            <rFont val="Tahoma"/>
            <charset val="1"/>
          </rPr>
          <t xml:space="preserve">
</t>
        </r>
      </text>
    </comment>
  </commentList>
</comments>
</file>

<file path=xl/sharedStrings.xml><?xml version="1.0" encoding="utf-8"?>
<sst xmlns="http://schemas.openxmlformats.org/spreadsheetml/2006/main" count="894" uniqueCount="533">
  <si>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</si>
  <si>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</si>
  <si>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</si>
  <si>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</si>
  <si>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</si>
  <si>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</si>
  <si>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</si>
  <si>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</si>
  <si>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</si>
  <si>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</si>
  <si>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</si>
  <si>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</si>
  <si>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</si>
  <si>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</si>
  <si>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</si>
  <si>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</si>
  <si>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</si>
  <si>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</si>
  <si>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</si>
  <si>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</si>
  <si>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</si>
  <si>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</si>
  <si>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</si>
  <si>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</si>
  <si>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</si>
  <si>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</si>
  <si>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</si>
  <si>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</si>
  <si>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</si>
  <si>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</si>
  <si>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</si>
  <si>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</si>
  <si>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</si>
  <si>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</si>
  <si>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</si>
  <si>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</si>
  <si>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</si>
  <si>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</si>
  <si>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</si>
  <si>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</si>
  <si>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</si>
  <si>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</si>
  <si>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</si>
  <si>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</si>
  <si>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</si>
  <si>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</si>
  <si>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</si>
  <si>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</si>
  <si>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</si>
  <si>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</si>
  <si>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</si>
  <si>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</si>
  <si>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</si>
  <si>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</si>
  <si>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</si>
  <si>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</si>
  <si>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</si>
  <si>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</si>
  <si>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</si>
  <si>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</si>
  <si>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</si>
  <si>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</si>
  <si>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</si>
  <si>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</si>
  <si>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</si>
  <si>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</si>
  <si>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</si>
  <si>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</si>
  <si>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</si>
  <si>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</si>
  <si>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</si>
  <si>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</si>
  <si>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</si>
  <si>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</si>
  <si>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</si>
  <si>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</si>
  <si>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</si>
  <si>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</si>
  <si>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</si>
  <si>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</si>
  <si>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</si>
  <si>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</si>
  <si>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</si>
  <si>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</si>
  <si>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</si>
  <si>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</si>
  <si>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</si>
  <si>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</si>
  <si>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</si>
  <si>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</si>
  <si>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</si>
  <si>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</si>
  <si>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</si>
  <si>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</si>
  <si>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</si>
  <si>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</si>
  <si>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</si>
  <si>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</si>
  <si>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</si>
  <si>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</si>
  <si>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</si>
  <si>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</si>
  <si>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</si>
  <si>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</si>
  <si>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</si>
  <si>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</si>
  <si>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</si>
  <si>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</si>
  <si>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</si>
  <si>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</si>
  <si>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</si>
  <si>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</si>
  <si>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</si>
  <si>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</si>
  <si>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</si>
  <si>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</si>
  <si>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</si>
  <si>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</si>
  <si>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</si>
  <si>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</si>
  <si>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</si>
  <si>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</si>
  <si>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</si>
  <si>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</si>
  <si>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</si>
  <si>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</si>
  <si>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</si>
  <si>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</si>
  <si>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</si>
  <si>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</si>
  <si>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</si>
  <si>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</si>
  <si>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</si>
  <si>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</si>
  <si>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</si>
  <si>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</si>
  <si>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</si>
  <si>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</si>
  <si>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</si>
  <si>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</si>
  <si>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</si>
  <si>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</si>
  <si>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</si>
  <si>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</si>
  <si>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</si>
  <si>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</si>
  <si>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</si>
  <si>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</si>
  <si>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</si>
  <si>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</si>
  <si>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</si>
  <si>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</si>
  <si>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</si>
  <si>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</si>
  <si>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</si>
  <si>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</si>
  <si>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</si>
  <si>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</si>
  <si>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</si>
  <si>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</si>
  <si>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</si>
  <si>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</si>
  <si>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</si>
  <si>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</si>
  <si>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</si>
  <si>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</si>
  <si>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</si>
  <si>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</si>
  <si>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</si>
  <si>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</si>
  <si>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</si>
  <si>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</si>
  <si>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</si>
  <si>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</si>
  <si>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</si>
  <si>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</si>
  <si>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</si>
  <si>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</si>
  <si>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</si>
  <si>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</si>
  <si>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</si>
  <si>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</si>
  <si>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</si>
  <si>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</si>
  <si>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</si>
  <si>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</si>
  <si>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</si>
  <si>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</si>
  <si>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</si>
  <si>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</si>
  <si>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</si>
  <si>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</si>
  <si>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</si>
  <si>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</si>
  <si>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</si>
  <si>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</si>
  <si>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</si>
  <si>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</si>
  <si>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</si>
  <si>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</si>
  <si>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</si>
  <si>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</si>
  <si>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</si>
  <si>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</si>
  <si>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</si>
  <si>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</si>
  <si>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</si>
  <si>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</si>
  <si>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</si>
  <si>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</si>
  <si>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</si>
  <si>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</si>
  <si>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</si>
  <si>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</si>
  <si>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</si>
  <si>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</si>
  <si>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</si>
  <si>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</si>
  <si>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</si>
  <si>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</si>
  <si>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</si>
  <si>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</si>
  <si>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</si>
  <si>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</si>
  <si>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</si>
  <si>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</si>
  <si>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</si>
  <si>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</si>
  <si>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</si>
  <si>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</si>
  <si>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</si>
  <si>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</si>
  <si>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</si>
  <si>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</si>
  <si>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</si>
  <si>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</si>
  <si>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</si>
  <si>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</si>
  <si>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</si>
  <si>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</si>
  <si>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</si>
  <si>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</si>
  <si>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</si>
  <si>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</si>
  <si>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</si>
  <si>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</si>
  <si>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</si>
  <si>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</si>
  <si>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</si>
  <si>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</si>
  <si>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</si>
  <si>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</si>
  <si>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</si>
  <si>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</si>
  <si>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</si>
  <si>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</si>
  <si>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</si>
  <si>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</si>
  <si>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</si>
  <si>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</si>
  <si>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</si>
  <si>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</si>
  <si>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</si>
  <si>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</si>
  <si>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</si>
  <si>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</si>
  <si>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</si>
  <si>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</si>
  <si>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</si>
  <si>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</si>
  <si>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</si>
  <si>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</si>
  <si>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</si>
  <si>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</si>
  <si>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</si>
  <si>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</si>
  <si>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</si>
  <si>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</si>
  <si>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</si>
  <si>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</si>
  <si>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</si>
  <si>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</si>
  <si>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</si>
  <si>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</si>
  <si>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</si>
  <si>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</si>
  <si>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</si>
  <si>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</si>
  <si>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</si>
  <si>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</si>
  <si>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</si>
  <si>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</si>
  <si>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</si>
  <si>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</si>
  <si>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</si>
  <si>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</si>
  <si>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</si>
  <si>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</si>
  <si>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</si>
  <si>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</si>
  <si>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</si>
  <si>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</si>
  <si>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</si>
  <si>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</si>
  <si>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</si>
  <si>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</si>
  <si>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</si>
  <si>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</si>
  <si>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</si>
  <si>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</si>
  <si>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</si>
  <si>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</si>
  <si>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</si>
  <si>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</si>
  <si>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</si>
  <si>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</si>
  <si>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</si>
  <si>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</si>
  <si>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</si>
  <si>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</si>
  <si>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</si>
  <si>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</si>
  <si>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</si>
  <si>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Count</t>
  </si>
  <si>
    <t xml:space="preserve">Row  </t>
  </si>
  <si>
    <t>Column</t>
  </si>
  <si>
    <t>Duplicate</t>
  </si>
  <si>
    <t>Non-Numeric  prices</t>
  </si>
  <si>
    <t>Non-numeric reviews</t>
  </si>
  <si>
    <t>Non-numeric Discounts</t>
  </si>
  <si>
    <t>Non-Numeric ratings</t>
  </si>
  <si>
    <t>ratings outside 0-5</t>
  </si>
  <si>
    <t>discounts outside 0-100%</t>
  </si>
  <si>
    <t>negative review counts</t>
  </si>
  <si>
    <t>current price &gt;old price</t>
  </si>
  <si>
    <t xml:space="preserve">price ranges </t>
  </si>
  <si>
    <t>DATA QUALITY  AUDIT(issue)COUNT</t>
  </si>
  <si>
    <t>Rating</t>
  </si>
  <si>
    <t>Weighing Scale Digital Bathroom Body Fat Scale Usb-Black</t>
  </si>
  <si>
    <t>Lasa Folding Table Serving Stand</t>
  </si>
  <si>
    <t>Genebre 115 In 1 Screwdriver Repairing Tool Set For Iphone Cellphone Hand Tool</t>
  </si>
  <si>
    <t>40Cm Gold Diy Acrylic Wall Sticker Clock</t>
  </si>
  <si>
    <t>Lasa Digital Thermometer And Hydrometer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</si>
  <si>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</si>
  <si>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</si>
  <si>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</si>
  <si>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</si>
  <si>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</si>
  <si>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</si>
  <si>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Lasa 3 Tier Bamboo Shoe Bench Storage Shelf</t>
  </si>
  <si>
    <t>Led Eye Protection  Desk Lamp , Study, Reading, Usb Fan - Double Pen Holder</t>
  </si>
  <si>
    <t>Diy File Folder, Office Drawer File Holder, Pen Holder, Desktop Storage Rack</t>
  </si>
  <si>
    <t>Punch-Free Great Load Bearing Bathroom Storage Rack Wall Shelf-White</t>
  </si>
  <si>
    <t>Lasa Stainless Steel Double Wall Mount Soap Dispenser - 500Ml</t>
  </si>
  <si>
    <t>Modern Sofa Throw Pillow Cover-45X45Cm-Blue&amp;Red</t>
  </si>
  <si>
    <t>2Pcs Solar Street Light Flood Light Outdoor</t>
  </si>
  <si>
    <t>Multi-Purpose Rice Drainage Basket And Fruit And Vegetable Drainage Sieve</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</si>
  <si>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</si>
  <si>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</si>
  <si>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</si>
  <si>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</si>
  <si>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Intelligent  Led Body Sensor Wireless Lighting Night Light Usb</t>
  </si>
  <si>
    <t>Vic Wireless Vacuum Cleaner Dual Use For Home And Car 120W High Power Powerful</t>
  </si>
  <si>
    <t>380Ml Usb Rechargeable Portable Small Blenders And Juicers</t>
  </si>
  <si>
    <t>32Pcs Portable Cordless Drill Set With Cyclic Battery Drive -26 Variable Speed</t>
  </si>
  <si>
    <t>Large Lazy Inflatable Sofa Chairs Pvc Lounger Seat Bag</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</si>
  <si>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</si>
  <si>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</si>
  <si>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</si>
  <si>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</si>
  <si>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7Pcs Silicone Thumb Knife Finger Protector Vegetable Harvesting Knife</t>
  </si>
  <si>
    <t>Memory Foam Neck Pillow Cover, With Pillow Core - 50*30Cm</t>
  </si>
  <si>
    <t>5M Waterproof Spherical Led String Lights Outdoor Ball Chain Lights Party Lighting Decoration Adjustable</t>
  </si>
  <si>
    <t>2 Pairs Cowhide Split Leather Work Gloves.32Â„‰ Or Above Welding Gloves</t>
  </si>
  <si>
    <t>Balloon Insert, Birthday Party Balloon Set, Pu Leather</t>
  </si>
  <si>
    <t>Outdoor Portable Water Bottle With Medicine Box - 600Ml - Black</t>
  </si>
  <si>
    <t>2Pcs Ice Silk Square Cushion Cover Pillowcases - 65X65Cm</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</si>
  <si>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</si>
  <si>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</si>
  <si>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</si>
  <si>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</si>
  <si>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</si>
  <si>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</si>
  <si>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</si>
  <si>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Wall-Mounted Sticker Punch-Free Plug Fixer</t>
  </si>
  <si>
    <t xml:space="preserve">Discount Amount </t>
  </si>
  <si>
    <t>Multifunctional Storage Rack Multi-Layer Booelf</t>
  </si>
  <si>
    <t>Discount Category</t>
  </si>
  <si>
    <t>Discount Check</t>
  </si>
  <si>
    <t>Rating Category</t>
  </si>
  <si>
    <t>prices Check</t>
  </si>
  <si>
    <t>Old  Price</t>
  </si>
  <si>
    <t>Current Price</t>
  </si>
  <si>
    <t>Price Category</t>
  </si>
  <si>
    <t>Medium Discount</t>
  </si>
  <si>
    <t>Average</t>
  </si>
  <si>
    <t>High Discount</t>
  </si>
  <si>
    <t>Excellent</t>
  </si>
  <si>
    <t>Low Discount</t>
  </si>
  <si>
    <t>Missing</t>
  </si>
  <si>
    <t>Poor</t>
  </si>
  <si>
    <t>Price_Q1</t>
  </si>
  <si>
    <t>Price_Q3</t>
  </si>
  <si>
    <t>PRICE CATEGORY THRESHOLD</t>
  </si>
  <si>
    <t>REVIEW THRESHOLD</t>
  </si>
  <si>
    <t>Review_Q3</t>
  </si>
  <si>
    <t>high discount and low rating flag</t>
  </si>
  <si>
    <t>strong engagement and excellent rating.</t>
  </si>
  <si>
    <t>Rating flag</t>
  </si>
  <si>
    <t>Review Engagement Flag</t>
  </si>
  <si>
    <t>high discount and low Review engagement;</t>
  </si>
  <si>
    <t xml:space="preserve"> Many reviews and Average Rating</t>
  </si>
  <si>
    <t>Descriptive Statistics</t>
  </si>
  <si>
    <t>Metric</t>
  </si>
  <si>
    <t>Total Products</t>
  </si>
  <si>
    <t>Average Current Price</t>
  </si>
  <si>
    <t>Average Old Price</t>
  </si>
  <si>
    <t>Average Discount</t>
  </si>
  <si>
    <t>Average Rating</t>
  </si>
  <si>
    <t xml:space="preserve">Total Reviews </t>
  </si>
  <si>
    <t>Most Expensive Price</t>
  </si>
  <si>
    <t xml:space="preserve">Least Expensive Price </t>
  </si>
  <si>
    <t>Products associated with the MAX,MIN extremes</t>
  </si>
  <si>
    <t>MAX</t>
  </si>
  <si>
    <t>MIN</t>
  </si>
  <si>
    <t>Relationship Analysis</t>
  </si>
  <si>
    <t>Scatter Plot of Discount(x) versus reviews (y)</t>
  </si>
  <si>
    <t>R^2=</t>
  </si>
  <si>
    <t>scatter plot Rating (X) vs Reviews(y)</t>
  </si>
  <si>
    <t>Correlation =</t>
  </si>
  <si>
    <t xml:space="preserve">Relationship Between Current Price(x) Versus Rating(y) </t>
  </si>
  <si>
    <t>Correlation=</t>
  </si>
  <si>
    <t xml:space="preserve">R^2= </t>
  </si>
  <si>
    <t>correlation=</t>
  </si>
  <si>
    <t>Row Labels</t>
  </si>
  <si>
    <t>Grand Total</t>
  </si>
  <si>
    <t>Average of Rating</t>
  </si>
  <si>
    <t>Sum of Review</t>
  </si>
  <si>
    <t>Sum of Current Price</t>
  </si>
  <si>
    <t>top 5 products by rating</t>
  </si>
  <si>
    <t>(Multiple Items)</t>
  </si>
  <si>
    <t>Bottom 5 products by rating</t>
  </si>
  <si>
    <t>Top 10 Products by Discount</t>
  </si>
  <si>
    <t>Average of Discount</t>
  </si>
  <si>
    <t>Top ten Products by rating</t>
  </si>
  <si>
    <t>products with high discounts but low ratings</t>
  </si>
  <si>
    <t>High Discount + Low Rating</t>
  </si>
  <si>
    <t xml:space="preserve">Products with High Discount but Low Engagement </t>
  </si>
  <si>
    <t>High Discount + Low Engagement</t>
  </si>
  <si>
    <t>Products with Many reviews but average ratings</t>
  </si>
  <si>
    <t>Many Reviews + Average Rating</t>
  </si>
  <si>
    <t>strong review engagement and excellent rating.</t>
  </si>
  <si>
    <t>Products with Strong Review/Engagement and Excelent Rating</t>
  </si>
  <si>
    <t>Strong Engagement + Excellent Rating</t>
  </si>
  <si>
    <t>Count of Product</t>
  </si>
  <si>
    <t>(blank)</t>
  </si>
  <si>
    <t>Rating mix</t>
  </si>
  <si>
    <t>Discount Mix</t>
  </si>
  <si>
    <t>Price vs Rating</t>
  </si>
  <si>
    <t>High Price</t>
  </si>
  <si>
    <t>Low Price</t>
  </si>
  <si>
    <t>Medium Price</t>
  </si>
  <si>
    <t>Engagement by discount</t>
  </si>
  <si>
    <t>Top ten Products by Reviews</t>
  </si>
  <si>
    <t xml:space="preserve"> 40Cm Gold Diy Acrylic Wall Sticker Clock</t>
  </si>
  <si>
    <t>Refresh date for the dashboard</t>
  </si>
  <si>
    <t>upper quartile of price</t>
  </si>
  <si>
    <t>lower price quartile</t>
  </si>
  <si>
    <t>upper quartile of review</t>
  </si>
  <si>
    <t>Issue</t>
  </si>
  <si>
    <t>Action Taken</t>
  </si>
  <si>
    <t>Reason</t>
  </si>
  <si>
    <t>Duplicate records</t>
  </si>
  <si>
    <t>Prevent double-counting</t>
  </si>
  <si>
    <t>Price stored as text</t>
  </si>
  <si>
    <t>Converted to numeric</t>
  </si>
  <si>
    <t>Required for calculations</t>
  </si>
  <si>
    <t>Removed</t>
  </si>
  <si>
    <t>Enabled numerical analysis</t>
  </si>
  <si>
    <t>Avoid treating missing values as zero</t>
  </si>
  <si>
    <t>Field</t>
  </si>
  <si>
    <t>Definition</t>
  </si>
  <si>
    <t>Data Type</t>
  </si>
  <si>
    <t>Name of the product listed on Jumia</t>
  </si>
  <si>
    <t>Text</t>
  </si>
  <si>
    <t>Current selling price in KSh</t>
  </si>
  <si>
    <t>Numeric</t>
  </si>
  <si>
    <t>Old Price</t>
  </si>
  <si>
    <t>Original price before the current discount</t>
  </si>
  <si>
    <t>Reviews</t>
  </si>
  <si>
    <t>Number of customer reviews</t>
  </si>
  <si>
    <t>Integer</t>
  </si>
  <si>
    <t>Discount %</t>
  </si>
  <si>
    <t>Percentage reduction from old price to current price</t>
  </si>
  <si>
    <t>Product price group derived from price thresholds</t>
  </si>
  <si>
    <t>Prices are assumed to be in Kenyan Shillings (KSh).</t>
  </si>
  <si>
    <t>Assumptions</t>
  </si>
  <si>
    <t>Missing rating and review values</t>
  </si>
  <si>
    <t>Text  in rating</t>
  </si>
  <si>
    <t>Retained</t>
  </si>
  <si>
    <t>Improve readability, understanding</t>
  </si>
  <si>
    <t>Product names in improper formart</t>
  </si>
  <si>
    <t>written in Proper formart</t>
  </si>
  <si>
    <t>enhance neatness and good readability</t>
  </si>
  <si>
    <t>Price Check</t>
  </si>
  <si>
    <t>Validates whether the Current Price is not greater than the Old Price. Returns “OK” when valid and flags invalid entries for checking.</t>
  </si>
  <si>
    <t>Categorizes products based on Current Price using the first quartile (Q1 = 493) and third quartile (Q3 = 1,669.5).</t>
  </si>
  <si>
    <t>Discount Amount</t>
  </si>
  <si>
    <t>Calculates the exact monetary amount discounted from the Old Price to the Current Price.</t>
  </si>
  <si>
    <t>Validates whether the discount percentage falls between 0 and 1 (0%–100%). Returns “OK” when valid and “Check the Discount” otherwise.</t>
  </si>
  <si>
    <t>Categorizes products according to their discount percentage: below 20% is Low, above 20% to 40% is Medium, and above 40% is High.</t>
  </si>
  <si>
    <t>Classifies review engagement using the third quartile (Q3) as the threshold separating strong and weak engagement.</t>
  </si>
  <si>
    <t>Rate Flag</t>
  </si>
  <si>
    <t>Checks whether the product rating falls within the defined rating scale. Returns “OK” for valid ratings and “Check the Rating” otherwise.</t>
  </si>
  <si>
    <t>Categorizes ratings as Poor (&lt;3), Average (3–4.5), or Excellent (&gt;4.5). Missing or invalid values are flagged accordingly.</t>
  </si>
  <si>
    <t>High Discount &amp; Low Rating Flag</t>
  </si>
  <si>
    <t>Identifies products that simultaneously have a High Discount and Low Rating.</t>
  </si>
  <si>
    <t>High Discount &amp; Low Review Engagement</t>
  </si>
  <si>
    <t>Identifies products that simultaneously have a High Discount and Low Review Engagement.</t>
  </si>
  <si>
    <t>Many Reviews &amp; Average Rating</t>
  </si>
  <si>
    <t>Identifies products that have Many Reviews and an Average Rating.</t>
  </si>
  <si>
    <r>
      <t xml:space="preserve">The </t>
    </r>
    <r>
      <rPr>
        <sz val="10"/>
        <color theme="1"/>
        <rFont val="Arial Unicode MS"/>
        <family val="2"/>
      </rPr>
      <t>Current Price</t>
    </r>
    <r>
      <rPr>
        <sz val="11"/>
        <color theme="1"/>
        <rFont val="Aptos Narrow"/>
        <family val="2"/>
        <scheme val="minor"/>
      </rPr>
      <t xml:space="preserve"> represents the actual selling price used for analysis.</t>
    </r>
  </si>
  <si>
    <t>Missing ratings and reviews were not automatically treated as zero because a missing rating or review does not mean a product has a zero rating or review</t>
  </si>
  <si>
    <r>
      <t xml:space="preserve">Discount percentage was calculated from </t>
    </r>
    <r>
      <rPr>
        <sz val="10"/>
        <color theme="1"/>
        <rFont val="Arial Unicode MS"/>
        <family val="2"/>
      </rPr>
      <t>Old Price</t>
    </r>
    <r>
      <rPr>
        <sz val="11"/>
        <color theme="1"/>
        <rFont val="Aptos Narrow"/>
        <family val="2"/>
        <scheme val="minor"/>
      </rPr>
      <t xml:space="preserve"> and </t>
    </r>
    <r>
      <rPr>
        <sz val="10"/>
        <color theme="1"/>
        <rFont val="Arial Unicode MS"/>
        <family val="2"/>
      </rPr>
      <t>Current Price.</t>
    </r>
  </si>
  <si>
    <t>Negation of all values in the review column was a typing error.</t>
  </si>
  <si>
    <t>2( USED PRODUCT AS CONDITIONAL FORMATTING THRESHOLD)</t>
  </si>
  <si>
    <t>corrected the label</t>
  </si>
  <si>
    <t>Column headers label misspelled</t>
  </si>
  <si>
    <t xml:space="preserve">cells containing negation </t>
  </si>
  <si>
    <t>Prices appearing as ranges</t>
  </si>
  <si>
    <t>calculated and replaced with midpoint</t>
  </si>
  <si>
    <t>removed negation</t>
  </si>
  <si>
    <t>customer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</si>
</sst>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KSh]\ #,##0.00"/>
    <numFmt numFmtId="165" formatCode="[$Ksh-441]#,##0.00"/>
    <numFmt numFmtId="166" formatCode="0.0"/>
    <numFmt numFmtId="167" formatCode="[$-409]m/d/yy\ h:mm\ AM/PM;@"/>
  </numFmts>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z val="8"/>
      <name val="Aptos Narrow"/>
      <family val="2"/>
      <scheme val="minor"/>
    </font>
    <font>
      <sz val="8"/>
      <color theme="0"/>
      <name val="Segoe UI"/>
      <family val="2"/>
    </font>
    <font>
      <sz val="9"/>
      <color indexed="81"/>
      <name val="Tahoma"/>
      <family val="2"/>
    </font>
    <font>
      <b/>
      <sz val="9"/>
      <color indexed="81"/>
      <name val="Tahoma"/>
      <family val="2"/>
    </font>
    <font>
      <sz val="9"/>
      <color indexed="81"/>
      <name val="Tahoma"/>
      <charset val="1"/>
    </font>
    <font>
      <b/>
      <sz val="9"/>
      <color indexed="81"/>
      <name val="Tahoma"/>
      <charset val="1"/>
    </font>
    <font>
      <sz val="10"/>
      <color theme="1"/>
      <name val="Arial Unicode MS"/>
      <family val="2"/>
    </font>
    <font>
      <sz val="11"/>
      <color theme="1"/>
      <name val="Aptos"/>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
      <patternFill patternType="solid">
        <fgColor theme="4" tint="-0.249977111117893"/>
        <bgColor indexed="64"/>
      </patternFill>
    </fill>
    <fill>
      <patternFill patternType="solid">
        <fgColor theme="5"/>
        <bgColor indexed="64"/>
      </patternFill>
    </fill>
    <fill>
      <patternFill patternType="solid">
        <fgColor theme="0"/>
        <bgColor indexed="64"/>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39">
    <xf numFmtId="0" fontId="0" fillId="0" borderId="0" xfId="0"/>
    <xf numFmtId="9" fontId="0" fillId="0" borderId="0" xfId="0" applyNumberFormat="1"/>
    <xf numFmtId="0" fontId="17" fillId="33" borderId="0" xfId="0" applyFont="1" applyFill="1"/>
    <xf numFmtId="49" fontId="17" fillId="33" borderId="0" xfId="0" applyNumberFormat="1" applyFont="1" applyFill="1"/>
    <xf numFmtId="49" fontId="0" fillId="0" borderId="0" xfId="0" applyNumberFormat="1"/>
    <xf numFmtId="164" fontId="17" fillId="33" borderId="0" xfId="0" applyNumberFormat="1" applyFont="1" applyFill="1"/>
    <xf numFmtId="164" fontId="0" fillId="0" borderId="0" xfId="0" applyNumberFormat="1"/>
    <xf numFmtId="164" fontId="17" fillId="33" borderId="0" xfId="42" applyNumberFormat="1" applyFont="1" applyFill="1"/>
    <xf numFmtId="164" fontId="0" fillId="0" borderId="0" xfId="42" applyNumberFormat="1" applyFont="1"/>
    <xf numFmtId="165" fontId="0" fillId="0" borderId="0" xfId="0" applyNumberFormat="1"/>
    <xf numFmtId="1" fontId="17" fillId="33" borderId="0" xfId="0" applyNumberFormat="1" applyFont="1" applyFill="1"/>
    <xf numFmtId="1" fontId="18" fillId="0" borderId="0" xfId="0" applyNumberFormat="1" applyFont="1"/>
    <xf numFmtId="1" fontId="17" fillId="0" borderId="0" xfId="0" applyNumberFormat="1" applyFont="1"/>
    <xf numFmtId="9" fontId="17" fillId="33" borderId="0" xfId="43" applyFont="1" applyFill="1"/>
    <xf numFmtId="9" fontId="0" fillId="0" borderId="0" xfId="43" applyFont="1"/>
    <xf numFmtId="49" fontId="17" fillId="33" borderId="0" xfId="43" applyNumberFormat="1" applyFont="1" applyFill="1"/>
    <xf numFmtId="49" fontId="0" fillId="0" borderId="0" xfId="43" applyNumberFormat="1" applyFont="1"/>
    <xf numFmtId="49" fontId="17" fillId="33" borderId="0" xfId="42" applyNumberFormat="1" applyFont="1" applyFill="1"/>
    <xf numFmtId="49" fontId="0" fillId="0" borderId="0" xfId="42" applyNumberFormat="1" applyFont="1"/>
    <xf numFmtId="49" fontId="17" fillId="34" borderId="0" xfId="0" applyNumberFormat="1" applyFont="1" applyFill="1"/>
    <xf numFmtId="2" fontId="17" fillId="33" borderId="0" xfId="42" applyNumberFormat="1" applyFont="1" applyFill="1"/>
    <xf numFmtId="2" fontId="0" fillId="0" borderId="0" xfId="42" applyNumberFormat="1" applyFont="1"/>
    <xf numFmtId="166" fontId="17" fillId="33" borderId="0" xfId="0" applyNumberFormat="1" applyFont="1" applyFill="1"/>
    <xf numFmtId="166" fontId="0" fillId="0" borderId="0" xfId="0" applyNumberFormat="1"/>
    <xf numFmtId="0" fontId="17" fillId="35" borderId="0" xfId="0" applyFont="1" applyFill="1"/>
    <xf numFmtId="0" fontId="0" fillId="36" borderId="0" xfId="0" applyFill="1"/>
    <xf numFmtId="1" fontId="0" fillId="0" borderId="0" xfId="0" applyNumberFormat="1"/>
    <xf numFmtId="0" fontId="0" fillId="0" borderId="0" xfId="0" pivotButton="1"/>
    <xf numFmtId="0" fontId="0" fillId="0" borderId="0" xfId="0" applyAlignment="1">
      <alignment horizontal="left"/>
    </xf>
    <xf numFmtId="49" fontId="20" fillId="0" borderId="0" xfId="0" applyNumberFormat="1" applyFont="1" applyAlignment="1">
      <alignment horizontal="left" vertical="center" wrapText="1" indent="1"/>
    </xf>
    <xf numFmtId="9" fontId="0" fillId="0" borderId="0" xfId="0" applyNumberFormat="1" applyAlignment="1">
      <alignment horizontal="left"/>
    </xf>
    <xf numFmtId="0" fontId="0" fillId="37" borderId="0" xfId="0" applyFill="1"/>
    <xf numFmtId="167" fontId="0" fillId="0" borderId="0" xfId="0" applyNumberFormat="1"/>
    <xf numFmtId="22" fontId="0" fillId="0" borderId="0" xfId="0" applyNumberFormat="1"/>
    <xf numFmtId="0" fontId="0" fillId="0" borderId="0" xfId="0" applyNumberFormat="1"/>
    <xf numFmtId="0" fontId="0" fillId="0" borderId="0" xfId="0" applyAlignment="1">
      <alignment vertical="center" wrapText="1"/>
    </xf>
    <xf numFmtId="0" fontId="13" fillId="35" borderId="0" xfId="0" applyFont="1" applyFill="1" applyAlignment="1">
      <alignment horizontal="center" vertical="center" wrapText="1"/>
    </xf>
    <xf numFmtId="0" fontId="13" fillId="35" borderId="0" xfId="0" applyFont="1" applyFill="1" applyAlignment="1">
      <alignment vertical="center" wrapText="1"/>
    </xf>
    <xf numFmtId="0" fontId="26" fillId="0" borderId="0" xfId="0"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24">
    <dxf>
      <numFmt numFmtId="30" formatCode="@"/>
    </dxf>
    <dxf>
      <numFmt numFmtId="30" formatCode="@"/>
    </dxf>
    <dxf>
      <numFmt numFmtId="30" formatCode="@"/>
    </dxf>
    <dxf>
      <numFmt numFmtId="30" formatCode="@"/>
    </dxf>
    <dxf>
      <numFmt numFmtId="30" formatCode="@"/>
    </dxf>
    <dxf>
      <numFmt numFmtId="0" formatCode="General"/>
    </dxf>
    <dxf>
      <numFmt numFmtId="166" formatCode="0.0"/>
    </dxf>
    <dxf>
      <font>
        <b val="0"/>
        <i val="0"/>
        <strike val="0"/>
        <condense val="0"/>
        <extend val="0"/>
        <outline val="0"/>
        <shadow val="0"/>
        <u val="none"/>
        <vertAlign val="baseline"/>
        <sz val="11"/>
        <color auto="1"/>
        <name val="Aptos Narrow"/>
        <family val="2"/>
        <scheme val="minor"/>
      </font>
      <numFmt numFmtId="1" formatCode="0"/>
    </dxf>
    <dxf>
      <font>
        <b val="0"/>
        <i val="0"/>
        <strike val="0"/>
        <condense val="0"/>
        <extend val="0"/>
        <outline val="0"/>
        <shadow val="0"/>
        <u val="none"/>
        <vertAlign val="baseline"/>
        <sz val="11"/>
        <color auto="1"/>
        <name val="Aptos Narrow"/>
        <family val="2"/>
        <scheme val="minor"/>
      </font>
      <numFmt numFmtId="1" formatCode="0"/>
    </dxf>
    <dxf>
      <font>
        <b val="0"/>
        <i val="0"/>
        <strike val="0"/>
        <condense val="0"/>
        <extend val="0"/>
        <outline val="0"/>
        <shadow val="0"/>
        <u val="none"/>
        <vertAlign val="baseline"/>
        <sz val="11"/>
        <color theme="1"/>
        <name val="Aptos Narrow"/>
        <family val="2"/>
        <scheme val="minor"/>
      </font>
      <numFmt numFmtId="30" formatCode="@"/>
    </dxf>
    <dxf>
      <font>
        <b val="0"/>
        <i val="0"/>
        <strike val="0"/>
        <condense val="0"/>
        <extend val="0"/>
        <outline val="0"/>
        <shadow val="0"/>
        <u val="none"/>
        <vertAlign val="baseline"/>
        <sz val="11"/>
        <color theme="1"/>
        <name val="Aptos Narrow"/>
        <family val="2"/>
        <scheme val="minor"/>
      </font>
      <numFmt numFmtId="30" formatCode="@"/>
    </dxf>
    <dxf>
      <font>
        <b val="0"/>
        <i val="0"/>
        <strike val="0"/>
        <condense val="0"/>
        <extend val="0"/>
        <outline val="0"/>
        <shadow val="0"/>
        <u val="none"/>
        <vertAlign val="baseline"/>
        <sz val="11"/>
        <color theme="1"/>
        <name val="Aptos Narrow"/>
        <family val="2"/>
        <scheme val="minor"/>
      </font>
    </dxf>
    <dxf>
      <numFmt numFmtId="165" formatCode="[$Ksh-441]#,##0.00"/>
    </dxf>
    <dxf>
      <font>
        <b val="0"/>
        <i val="0"/>
        <strike val="0"/>
        <condense val="0"/>
        <extend val="0"/>
        <outline val="0"/>
        <shadow val="0"/>
        <u val="none"/>
        <vertAlign val="baseline"/>
        <sz val="11"/>
        <color theme="1"/>
        <name val="Aptos Narrow"/>
        <family val="2"/>
        <scheme val="minor"/>
      </font>
      <numFmt numFmtId="2" formatCode="0.00"/>
    </dxf>
    <dxf>
      <font>
        <b val="0"/>
        <i val="0"/>
        <strike val="0"/>
        <condense val="0"/>
        <extend val="0"/>
        <outline val="0"/>
        <shadow val="0"/>
        <u val="none"/>
        <vertAlign val="baseline"/>
        <sz val="11"/>
        <color theme="1"/>
        <name val="Aptos Narrow"/>
        <family val="2"/>
        <scheme val="minor"/>
      </font>
      <numFmt numFmtId="30" formatCode="@"/>
    </dxf>
    <dxf>
      <font>
        <b val="0"/>
        <i val="0"/>
        <strike val="0"/>
        <condense val="0"/>
        <extend val="0"/>
        <outline val="0"/>
        <shadow val="0"/>
        <u val="none"/>
        <vertAlign val="baseline"/>
        <sz val="11"/>
        <color theme="1"/>
        <name val="Aptos Narrow"/>
        <family val="2"/>
        <scheme val="minor"/>
      </font>
      <numFmt numFmtId="164" formatCode="[$KSh]\ #,##0.00"/>
    </dxf>
    <dxf>
      <numFmt numFmtId="164" formatCode="[$KSh]\ #,##0.00"/>
    </dxf>
    <dxf>
      <numFmt numFmtId="30" formatCode="@"/>
    </dxf>
    <dxf>
      <fill>
        <patternFill>
          <bgColor theme="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Relationship</a:t>
            </a:r>
            <a:r>
              <a:rPr lang="en-US" b="1" baseline="0">
                <a:solidFill>
                  <a:schemeClr val="bg1"/>
                </a:solidFill>
              </a:rPr>
              <a:t> Between Discount% and Reviews</a:t>
            </a:r>
            <a:endParaRPr lang="en-US" b="1">
              <a:solidFill>
                <a:schemeClr val="bg1"/>
              </a:solidFill>
            </a:endParaRP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strRef>
              <c:f>CLEANED!$G:$G</c:f>
              <c:strCache>
                <c:ptCount val="56"/>
                <c:pt idx="0">
                  <c:v>Discount</c:v>
                </c:pt>
                <c:pt idx="1">
                  <c:v>42%</c:v>
                </c:pt>
                <c:pt idx="2">
                  <c:v>46%</c:v>
                </c:pt>
                <c:pt idx="3">
                  <c:v>38%</c:v>
                </c:pt>
                <c:pt idx="4">
                  <c:v>49%</c:v>
                </c:pt>
                <c:pt idx="5">
                  <c:v>50%</c:v>
                </c:pt>
                <c:pt idx="6">
                  <c:v>42%</c:v>
                </c:pt>
                <c:pt idx="7">
                  <c:v>42%</c:v>
                </c:pt>
                <c:pt idx="8">
                  <c:v>2%</c:v>
                </c:pt>
                <c:pt idx="9">
                  <c:v>50%</c:v>
                </c:pt>
                <c:pt idx="10">
                  <c:v>33%</c:v>
                </c:pt>
                <c:pt idx="11">
                  <c:v>49%</c:v>
                </c:pt>
                <c:pt idx="12">
                  <c:v>38%</c:v>
                </c:pt>
                <c:pt idx="13">
                  <c:v>61%</c:v>
                </c:pt>
                <c:pt idx="14">
                  <c:v>50%</c:v>
                </c:pt>
                <c:pt idx="15">
                  <c:v>2%</c:v>
                </c:pt>
                <c:pt idx="16">
                  <c:v>22%</c:v>
                </c:pt>
                <c:pt idx="17">
                  <c:v>3%</c:v>
                </c:pt>
                <c:pt idx="18">
                  <c:v>41%</c:v>
                </c:pt>
                <c:pt idx="19">
                  <c:v>45%</c:v>
                </c:pt>
                <c:pt idx="20">
                  <c:v>48%</c:v>
                </c:pt>
                <c:pt idx="21">
                  <c:v>49%</c:v>
                </c:pt>
                <c:pt idx="22">
                  <c:v>47%</c:v>
                </c:pt>
                <c:pt idx="23">
                  <c:v>47%</c:v>
                </c:pt>
                <c:pt idx="24">
                  <c:v>47%</c:v>
                </c:pt>
                <c:pt idx="25">
                  <c:v>43%</c:v>
                </c:pt>
                <c:pt idx="26">
                  <c:v>46%</c:v>
                </c:pt>
                <c:pt idx="27">
                  <c:v>49%</c:v>
                </c:pt>
                <c:pt idx="28">
                  <c:v>2%</c:v>
                </c:pt>
                <c:pt idx="29">
                  <c:v>49%</c:v>
                </c:pt>
                <c:pt idx="30">
                  <c:v>42%</c:v>
                </c:pt>
                <c:pt idx="31">
                  <c:v>49%</c:v>
                </c:pt>
                <c:pt idx="32">
                  <c:v>14%</c:v>
                </c:pt>
                <c:pt idx="33">
                  <c:v>49%</c:v>
                </c:pt>
                <c:pt idx="34">
                  <c:v>11%</c:v>
                </c:pt>
                <c:pt idx="35">
                  <c:v>49%</c:v>
                </c:pt>
                <c:pt idx="36">
                  <c:v>14%</c:v>
                </c:pt>
                <c:pt idx="37">
                  <c:v>43%</c:v>
                </c:pt>
                <c:pt idx="38">
                  <c:v>50%</c:v>
                </c:pt>
                <c:pt idx="39">
                  <c:v>48%</c:v>
                </c:pt>
                <c:pt idx="40">
                  <c:v>48%</c:v>
                </c:pt>
                <c:pt idx="41">
                  <c:v>47%</c:v>
                </c:pt>
                <c:pt idx="42">
                  <c:v>47%</c:v>
                </c:pt>
                <c:pt idx="43">
                  <c:v>50%</c:v>
                </c:pt>
                <c:pt idx="44">
                  <c:v>8%</c:v>
                </c:pt>
                <c:pt idx="45">
                  <c:v>2%</c:v>
                </c:pt>
                <c:pt idx="46">
                  <c:v>49%</c:v>
                </c:pt>
                <c:pt idx="47">
                  <c:v>49%</c:v>
                </c:pt>
                <c:pt idx="48">
                  <c:v>42%</c:v>
                </c:pt>
                <c:pt idx="49">
                  <c:v>21%</c:v>
                </c:pt>
                <c:pt idx="50">
                  <c:v>41%</c:v>
                </c:pt>
                <c:pt idx="51">
                  <c:v>1%</c:v>
                </c:pt>
                <c:pt idx="52">
                  <c:v>24%</c:v>
                </c:pt>
                <c:pt idx="53">
                  <c:v>34%</c:v>
                </c:pt>
                <c:pt idx="54">
                  <c:v>34%</c:v>
                </c:pt>
                <c:pt idx="55">
                  <c:v>2%</c:v>
                </c:pt>
              </c:strCache>
            </c:strRef>
          </c:xVal>
          <c:yVal>
            <c:numRef>
              <c:f>CLEANED!$J:$J</c:f>
              <c:numCache>
                <c:formatCode>0</c:formatCode>
                <c:ptCount val="1048519"/>
                <c:pt idx="0">
                  <c:v>0</c:v>
                </c:pt>
              </c:numCache>
            </c:numRef>
          </c:yVal>
          <c:smooth val="0"/>
          <c:extLst>
            <c:ext xmlns:c16="http://schemas.microsoft.com/office/drawing/2014/chart" uri="{C3380CC4-5D6E-409C-BE32-E72D297353CC}">
              <c16:uniqueId val="{00000002-CA3E-42EE-AFDA-E9744521BD64}"/>
            </c:ext>
          </c:extLst>
        </c:ser>
        <c:dLbls>
          <c:showLegendKey val="0"/>
          <c:showVal val="0"/>
          <c:showCatName val="0"/>
          <c:showSerName val="0"/>
          <c:showPercent val="0"/>
          <c:showBubbleSize val="0"/>
        </c:dLbls>
        <c:axId val="2040518176"/>
        <c:axId val="1952490512"/>
      </c:scatterChart>
      <c:valAx>
        <c:axId val="2040518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bg1"/>
                    </a:solidFill>
                  </a:rPr>
                  <a:t>Discount</a:t>
                </a:r>
                <a:r>
                  <a:rPr lang="en-US" baseline="0"/>
                  <a:t> </a:t>
                </a:r>
                <a:r>
                  <a:rPr lang="en-US" baseline="0">
                    <a:solidFill>
                      <a:schemeClr val="bg1"/>
                    </a:solidFill>
                  </a:rPr>
                  <a:t>%</a:t>
                </a:r>
                <a:endParaRPr lang="en-US"/>
              </a:p>
            </c:rich>
          </c:tx>
          <c:layout>
            <c:manualLayout>
              <c:xMode val="edge"/>
              <c:yMode val="edge"/>
              <c:x val="0.47020713035870515"/>
              <c:y val="0.87868037328667248"/>
            </c:manualLayout>
          </c:layout>
          <c:overlay val="0"/>
          <c:spPr>
            <a:solidFill>
              <a:schemeClr val="accent2"/>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490512"/>
        <c:crosses val="autoZero"/>
        <c:crossBetween val="midCat"/>
      </c:valAx>
      <c:valAx>
        <c:axId val="1952490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bg1"/>
                    </a:solidFill>
                  </a:rPr>
                  <a:t>Reviews</a:t>
                </a:r>
              </a:p>
            </c:rich>
          </c:tx>
          <c:overlay val="0"/>
          <c:spPr>
            <a:solidFill>
              <a:schemeClr val="accent2"/>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5181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Relationship Between Rating and Reviews</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7418915785334765E-2"/>
          <c:y val="0.10125715514229663"/>
          <c:w val="0.88786809702478464"/>
          <c:h val="0.72125801983085447"/>
        </c:manualLayout>
      </c:layout>
      <c:scatterChart>
        <c:scatterStyle val="lineMarker"/>
        <c:varyColors val="0"/>
        <c:ser>
          <c:idx val="0"/>
          <c:order val="0"/>
          <c:tx>
            <c:v>Relationship Between Rating and Reviews</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2.646740723519958E-2"/>
                  <c:y val="-0.361908443487397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strRef>
              <c:f>CLEANED!$L:$L</c:f>
              <c:strCache>
                <c:ptCount val="1"/>
                <c:pt idx="0">
                  <c:v>Rating</c:v>
                </c:pt>
              </c:strCache>
            </c:strRef>
          </c:xVal>
          <c:yVal>
            <c:numRef>
              <c:f>CLEANED!$J:$J</c:f>
              <c:numCache>
                <c:formatCode>0</c:formatCode>
                <c:ptCount val="1048519"/>
                <c:pt idx="0">
                  <c:v>0</c:v>
                </c:pt>
              </c:numCache>
            </c:numRef>
          </c:yVal>
          <c:smooth val="0"/>
          <c:extLst>
            <c:ext xmlns:c16="http://schemas.microsoft.com/office/drawing/2014/chart" uri="{C3380CC4-5D6E-409C-BE32-E72D297353CC}">
              <c16:uniqueId val="{00000002-56DA-43AA-BA32-E167A30CB749}"/>
            </c:ext>
          </c:extLst>
        </c:ser>
        <c:dLbls>
          <c:showLegendKey val="0"/>
          <c:showVal val="0"/>
          <c:showCatName val="0"/>
          <c:showSerName val="0"/>
          <c:showPercent val="0"/>
          <c:showBubbleSize val="0"/>
        </c:dLbls>
        <c:axId val="1878219584"/>
        <c:axId val="1952478512"/>
      </c:scatterChart>
      <c:valAx>
        <c:axId val="18782195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bg1"/>
                    </a:solidFill>
                  </a:rPr>
                  <a:t>Rating</a:t>
                </a:r>
              </a:p>
            </c:rich>
          </c:tx>
          <c:overlay val="0"/>
          <c:spPr>
            <a:solidFill>
              <a:schemeClr val="accent2"/>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478512"/>
        <c:crosses val="autoZero"/>
        <c:crossBetween val="midCat"/>
      </c:valAx>
      <c:valAx>
        <c:axId val="1952478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bg1"/>
                    </a:solidFill>
                  </a:rPr>
                  <a:t>Review</a:t>
                </a:r>
              </a:p>
            </c:rich>
          </c:tx>
          <c:overlay val="0"/>
          <c:spPr>
            <a:solidFill>
              <a:schemeClr val="accent2"/>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2195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Relationship</a:t>
            </a:r>
            <a:r>
              <a:rPr lang="en-US" b="1" baseline="0">
                <a:solidFill>
                  <a:schemeClr val="bg1"/>
                </a:solidFill>
              </a:rPr>
              <a:t> Between Current Price and Rating</a:t>
            </a:r>
            <a:endParaRPr lang="en-US" b="1">
              <a:solidFill>
                <a:schemeClr val="bg1"/>
              </a:solidFill>
            </a:endParaRPr>
          </a:p>
        </c:rich>
      </c:tx>
      <c:layout>
        <c:manualLayout>
          <c:xMode val="edge"/>
          <c:yMode val="edge"/>
          <c:x val="0.15056280075454545"/>
          <c:y val="3.6585365853658534E-2"/>
        </c:manualLayout>
      </c:layout>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strRef>
              <c:f>CLEANED!$B:$B</c:f>
              <c:strCache>
                <c:ptCount val="56"/>
                <c:pt idx="0">
                  <c:v>Current Price</c:v>
                </c:pt>
                <c:pt idx="1">
                  <c:v>KSh 1,860.00</c:v>
                </c:pt>
                <c:pt idx="2">
                  <c:v>KSh 2,200.00</c:v>
                </c:pt>
                <c:pt idx="3">
                  <c:v>KSh 2,750.00</c:v>
                </c:pt>
                <c:pt idx="4">
                  <c:v>KSh 475.00</c:v>
                </c:pt>
                <c:pt idx="5">
                  <c:v>KSh 238.00</c:v>
                </c:pt>
                <c:pt idx="6">
                  <c:v>KSh 2,132.00</c:v>
                </c:pt>
                <c:pt idx="7">
                  <c:v>KSh 999.00</c:v>
                </c:pt>
                <c:pt idx="8">
                  <c:v>KSh 1,190.00</c:v>
                </c:pt>
                <c:pt idx="9">
                  <c:v>KSh 671.00</c:v>
                </c:pt>
                <c:pt idx="10">
                  <c:v>KSh 1,200.00</c:v>
                </c:pt>
                <c:pt idx="11">
                  <c:v>KSh 199.00</c:v>
                </c:pt>
                <c:pt idx="12">
                  <c:v>KSh 299.00</c:v>
                </c:pt>
                <c:pt idx="13">
                  <c:v>KSh 1,660.00</c:v>
                </c:pt>
                <c:pt idx="14">
                  <c:v>KSh 299.00</c:v>
                </c:pt>
                <c:pt idx="15">
                  <c:v>KSh 1,459.00</c:v>
                </c:pt>
                <c:pt idx="16">
                  <c:v>KSh 799.00</c:v>
                </c:pt>
                <c:pt idx="17">
                  <c:v>KSh 499.00</c:v>
                </c:pt>
                <c:pt idx="18">
                  <c:v>KSh 699.00</c:v>
                </c:pt>
                <c:pt idx="19">
                  <c:v>KSh 799.00</c:v>
                </c:pt>
                <c:pt idx="20">
                  <c:v>KSh 2,799.00</c:v>
                </c:pt>
                <c:pt idx="21">
                  <c:v>KSh 399.00</c:v>
                </c:pt>
                <c:pt idx="22">
                  <c:v>KSh 790.00</c:v>
                </c:pt>
                <c:pt idx="23">
                  <c:v>KSh 690.00</c:v>
                </c:pt>
                <c:pt idx="24">
                  <c:v>KSh 1,732.00</c:v>
                </c:pt>
                <c:pt idx="25">
                  <c:v>KSh 230.00</c:v>
                </c:pt>
                <c:pt idx="26">
                  <c:v>KSh 1,460.00</c:v>
                </c:pt>
                <c:pt idx="27">
                  <c:v>KSh 1,666.00</c:v>
                </c:pt>
                <c:pt idx="28">
                  <c:v>KSh 610.00</c:v>
                </c:pt>
                <c:pt idx="29">
                  <c:v>KSh 176.00</c:v>
                </c:pt>
                <c:pt idx="30">
                  <c:v>KSh 1,466.00</c:v>
                </c:pt>
                <c:pt idx="31">
                  <c:v>KSh 274.00</c:v>
                </c:pt>
                <c:pt idx="32">
                  <c:v>KSh 799.00</c:v>
                </c:pt>
                <c:pt idx="33">
                  <c:v>KSh 657.00</c:v>
                </c:pt>
                <c:pt idx="34">
                  <c:v>KSh 1,468.00</c:v>
                </c:pt>
                <c:pt idx="35">
                  <c:v>KSh 630.00</c:v>
                </c:pt>
                <c:pt idx="36">
                  <c:v>KSh 850.00</c:v>
                </c:pt>
                <c:pt idx="37">
                  <c:v>KSh 1,300.00</c:v>
                </c:pt>
                <c:pt idx="38">
                  <c:v>KSh 105.00</c:v>
                </c:pt>
                <c:pt idx="39">
                  <c:v>KSh 899.00</c:v>
                </c:pt>
                <c:pt idx="40">
                  <c:v>KSh 1,200.00</c:v>
                </c:pt>
                <c:pt idx="41">
                  <c:v>KSh 1,526.00</c:v>
                </c:pt>
                <c:pt idx="42">
                  <c:v>KSh 1,462.00</c:v>
                </c:pt>
                <c:pt idx="43">
                  <c:v>KSh 248.00</c:v>
                </c:pt>
                <c:pt idx="44">
                  <c:v>KSh 3,546.00</c:v>
                </c:pt>
                <c:pt idx="45">
                  <c:v>KSh 525.00</c:v>
                </c:pt>
                <c:pt idx="46">
                  <c:v>KSh 1,080.00</c:v>
                </c:pt>
                <c:pt idx="47">
                  <c:v>KSh 1,420.00</c:v>
                </c:pt>
                <c:pt idx="48">
                  <c:v>KSh 1,875.00</c:v>
                </c:pt>
                <c:pt idx="49">
                  <c:v>KSh 198.00</c:v>
                </c:pt>
                <c:pt idx="50">
                  <c:v>KSh 1,150.00</c:v>
                </c:pt>
                <c:pt idx="51">
                  <c:v>KSh 1,190.00</c:v>
                </c:pt>
                <c:pt idx="52">
                  <c:v>KSh 1,658.00</c:v>
                </c:pt>
                <c:pt idx="53">
                  <c:v>KSh 1,768.00</c:v>
                </c:pt>
                <c:pt idx="54">
                  <c:v>KSh 199.00</c:v>
                </c:pt>
                <c:pt idx="55">
                  <c:v>KSh 169.00</c:v>
                </c:pt>
              </c:strCache>
            </c:strRef>
          </c:xVal>
          <c:yVal>
            <c:numRef>
              <c:f>CLEANED!$L:$L</c:f>
              <c:numCache>
                <c:formatCode>0.0</c:formatCode>
                <c:ptCount val="1048519"/>
                <c:pt idx="0">
                  <c:v>0</c:v>
                </c:pt>
              </c:numCache>
            </c:numRef>
          </c:yVal>
          <c:smooth val="0"/>
          <c:extLst>
            <c:ext xmlns:c16="http://schemas.microsoft.com/office/drawing/2014/chart" uri="{C3380CC4-5D6E-409C-BE32-E72D297353CC}">
              <c16:uniqueId val="{00000002-6819-4C62-AEFF-B5093CE00BE5}"/>
            </c:ext>
          </c:extLst>
        </c:ser>
        <c:dLbls>
          <c:showLegendKey val="0"/>
          <c:showVal val="0"/>
          <c:showCatName val="0"/>
          <c:showSerName val="0"/>
          <c:showPercent val="0"/>
          <c:showBubbleSize val="0"/>
        </c:dLbls>
        <c:axId val="54919968"/>
        <c:axId val="1952577872"/>
      </c:scatterChart>
      <c:valAx>
        <c:axId val="549199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bg1"/>
                    </a:solidFill>
                  </a:rPr>
                  <a:t>Current Price</a:t>
                </a:r>
                <a:r>
                  <a:rPr lang="en-US"/>
                  <a:t> </a:t>
                </a:r>
              </a:p>
            </c:rich>
          </c:tx>
          <c:overlay val="0"/>
          <c:spPr>
            <a:solidFill>
              <a:schemeClr val="accent2"/>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577872"/>
        <c:crosses val="autoZero"/>
        <c:crossBetween val="midCat"/>
      </c:valAx>
      <c:valAx>
        <c:axId val="1952577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bg1"/>
                    </a:solidFill>
                  </a:rPr>
                  <a:t>Rating</a:t>
                </a:r>
                <a:r>
                  <a:rPr lang="en-US"/>
                  <a:t> </a:t>
                </a:r>
              </a:p>
            </c:rich>
          </c:tx>
          <c:overlay val="0"/>
          <c:spPr>
            <a:solidFill>
              <a:schemeClr val="accent2"/>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199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analysis-done.xlsx]Pivot table!PivotTable5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2"/>
                </a:solidFill>
              </a:rPr>
              <a:t>Top 10 products by discount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881462903732293"/>
          <c:y val="0.26615508114727626"/>
          <c:w val="0.46026839552056986"/>
          <c:h val="0.63010911264797975"/>
        </c:manualLayout>
      </c:layout>
      <c:barChart>
        <c:barDir val="bar"/>
        <c:grouping val="clustered"/>
        <c:varyColors val="0"/>
        <c:ser>
          <c:idx val="0"/>
          <c:order val="0"/>
          <c:tx>
            <c:strRef>
              <c:f>'Pivot table'!$B$79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table'!$A$80:$A$90</c:f>
              <c:strCache>
                <c:ptCount val="10"/>
                <c:pt idx="0">
                  <c:v>Pen Grips For Kids Pen Grip Posture Correction Tool For Kids</c:v>
                </c:pt>
                <c:pt idx="1">
                  <c:v>Mythco 120Cob Solar Wall Ligt With Motion Sensor And Remote Control 3 Modes</c:v>
                </c:pt>
                <c:pt idx="2">
                  <c:v>Lasa Folding Table Serving Stand</c:v>
                </c:pt>
                <c:pt idx="3">
                  <c:v>Intelligent  Led Body Sensor Wireless Lighting Night Light Usb</c:v>
                </c:pt>
                <c:pt idx="4">
                  <c:v>Lasa 3 Tier Bamboo Shoe Bench Storage Shelf</c:v>
                </c:pt>
                <c:pt idx="5">
                  <c:v>120W Cordless Vacuum Cleaners Handheld Electric Vacuum Cleaner</c:v>
                </c:pt>
                <c:pt idx="6">
                  <c:v>Classic Black Cat Cotton Hemp Pillow Case For Home Car</c:v>
                </c:pt>
                <c:pt idx="7">
                  <c:v>3Pcs Single Head Knitting Crochet Sweater Needle Set</c:v>
                </c:pt>
                <c:pt idx="8">
                  <c:v>Artificial Potted Flowers Room Decorative Flowers (2 Pieces)</c:v>
                </c:pt>
                <c:pt idx="9">
                  <c:v>Exfoliate And Exfoliate Face Towel - Black</c:v>
                </c:pt>
              </c:strCache>
            </c:strRef>
          </c:cat>
          <c:val>
            <c:numRef>
              <c:f>'Pivot table'!$B$80:$B$90</c:f>
              <c:numCache>
                <c:formatCode>0%</c:formatCode>
                <c:ptCount val="10"/>
                <c:pt idx="0">
                  <c:v>0.61</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8D3C-4A2F-91C9-D8A3576A079F}"/>
            </c:ext>
          </c:extLst>
        </c:ser>
        <c:dLbls>
          <c:dLblPos val="inEnd"/>
          <c:showLegendKey val="0"/>
          <c:showVal val="1"/>
          <c:showCatName val="0"/>
          <c:showSerName val="0"/>
          <c:showPercent val="0"/>
          <c:showBubbleSize val="0"/>
        </c:dLbls>
        <c:gapWidth val="115"/>
        <c:overlap val="-20"/>
        <c:axId val="720355423"/>
        <c:axId val="473751855"/>
      </c:barChart>
      <c:catAx>
        <c:axId val="7203554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3751855"/>
        <c:crosses val="autoZero"/>
        <c:auto val="1"/>
        <c:lblAlgn val="ctr"/>
        <c:lblOffset val="100"/>
        <c:noMultiLvlLbl val="0"/>
      </c:catAx>
      <c:valAx>
        <c:axId val="473751855"/>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035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analysis-done.xlsx]Pivot table!PivotTable6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2"/>
                </a:solidFill>
              </a:rPr>
              <a:t>Top 10 Products by Review</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274503461214982"/>
          <c:y val="0.28643299795858851"/>
          <c:w val="0.47024230407696493"/>
          <c:h val="0.62968613298337706"/>
        </c:manualLayout>
      </c:layout>
      <c:barChart>
        <c:barDir val="bar"/>
        <c:grouping val="clustered"/>
        <c:varyColors val="0"/>
        <c:ser>
          <c:idx val="0"/>
          <c:order val="0"/>
          <c:tx>
            <c:strRef>
              <c:f>'Pivot table'!$B$95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table'!$A$96:$A$106</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'Pivot table'!$B$96:$B$106</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7D1B-4471-9166-EAFE782D1A95}"/>
            </c:ext>
          </c:extLst>
        </c:ser>
        <c:dLbls>
          <c:dLblPos val="outEnd"/>
          <c:showLegendKey val="0"/>
          <c:showVal val="1"/>
          <c:showCatName val="0"/>
          <c:showSerName val="0"/>
          <c:showPercent val="0"/>
          <c:showBubbleSize val="0"/>
        </c:dLbls>
        <c:gapWidth val="115"/>
        <c:overlap val="-20"/>
        <c:axId val="620843279"/>
        <c:axId val="787015567"/>
      </c:barChart>
      <c:catAx>
        <c:axId val="6208432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015567"/>
        <c:crosses val="autoZero"/>
        <c:auto val="1"/>
        <c:lblAlgn val="ctr"/>
        <c:lblOffset val="100"/>
        <c:noMultiLvlLbl val="0"/>
      </c:catAx>
      <c:valAx>
        <c:axId val="78701556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084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analysis-done.xlsx]Pivot table!PivotTable7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2"/>
                </a:solidFill>
              </a:rPr>
              <a:t>Top 10 Products by Rating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817768960948127"/>
          <c:y val="0.21779003673529515"/>
          <c:w val="0.48213621032790038"/>
          <c:h val="0.65754459089044237"/>
        </c:manualLayout>
      </c:layout>
      <c:barChart>
        <c:barDir val="bar"/>
        <c:grouping val="clustered"/>
        <c:varyColors val="0"/>
        <c:ser>
          <c:idx val="0"/>
          <c:order val="0"/>
          <c:tx>
            <c:strRef>
              <c:f>'Pivot table'!$B$113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table'!$A$114:$A$124</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'Pivot table'!$B$114:$B$124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7588-495A-A80C-94890A460605}"/>
            </c:ext>
          </c:extLst>
        </c:ser>
        <c:dLbls>
          <c:dLblPos val="outEnd"/>
          <c:showLegendKey val="0"/>
          <c:showVal val="1"/>
          <c:showCatName val="0"/>
          <c:showSerName val="0"/>
          <c:showPercent val="0"/>
          <c:showBubbleSize val="0"/>
        </c:dLbls>
        <c:gapWidth val="115"/>
        <c:overlap val="-20"/>
        <c:axId val="636531839"/>
        <c:axId val="786996847"/>
      </c:barChart>
      <c:catAx>
        <c:axId val="6365318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6996847"/>
        <c:crosses val="autoZero"/>
        <c:auto val="1"/>
        <c:lblAlgn val="ctr"/>
        <c:lblOffset val="100"/>
        <c:noMultiLvlLbl val="0"/>
      </c:catAx>
      <c:valAx>
        <c:axId val="78699684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653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analysis-done.xlsx]Pivot table!PivotTable11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solidFill>
                  <a:schemeClr val="accent2"/>
                </a:solidFill>
              </a:rPr>
              <a:t>Count of Products in relation to rates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table'!$A$197:$A$220</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(blank)</c:v>
                </c:pt>
              </c:strCache>
            </c:strRef>
          </c:cat>
          <c:val>
            <c:numRef>
              <c:f>'Pivot table'!$B$197:$B$220</c:f>
              <c:numCache>
                <c:formatCode>General</c:formatCode>
                <c:ptCount val="23"/>
                <c:pt idx="0">
                  <c:v>1</c:v>
                </c:pt>
                <c:pt idx="1">
                  <c:v>2</c:v>
                </c:pt>
                <c:pt idx="2">
                  <c:v>2</c:v>
                </c:pt>
                <c:pt idx="3">
                  <c:v>2</c:v>
                </c:pt>
                <c:pt idx="4">
                  <c:v>1</c:v>
                </c:pt>
                <c:pt idx="5">
                  <c:v>1</c:v>
                </c:pt>
                <c:pt idx="6">
                  <c:v>1</c:v>
                </c:pt>
                <c:pt idx="7">
                  <c:v>1</c:v>
                </c:pt>
                <c:pt idx="8">
                  <c:v>1</c:v>
                </c:pt>
                <c:pt idx="9">
                  <c:v>5</c:v>
                </c:pt>
                <c:pt idx="10">
                  <c:v>1</c:v>
                </c:pt>
                <c:pt idx="11">
                  <c:v>3</c:v>
                </c:pt>
                <c:pt idx="12">
                  <c:v>4</c:v>
                </c:pt>
                <c:pt idx="13">
                  <c:v>3</c:v>
                </c:pt>
                <c:pt idx="14">
                  <c:v>1</c:v>
                </c:pt>
                <c:pt idx="15">
                  <c:v>4</c:v>
                </c:pt>
                <c:pt idx="16">
                  <c:v>1</c:v>
                </c:pt>
                <c:pt idx="17">
                  <c:v>4</c:v>
                </c:pt>
                <c:pt idx="18">
                  <c:v>5</c:v>
                </c:pt>
                <c:pt idx="19">
                  <c:v>4</c:v>
                </c:pt>
                <c:pt idx="20">
                  <c:v>3</c:v>
                </c:pt>
                <c:pt idx="21">
                  <c:v>7</c:v>
                </c:pt>
                <c:pt idx="22">
                  <c:v>55</c:v>
                </c:pt>
              </c:numCache>
            </c:numRef>
          </c:val>
          <c:extLst>
            <c:ext xmlns:c16="http://schemas.microsoft.com/office/drawing/2014/chart" uri="{C3380CC4-5D6E-409C-BE32-E72D297353CC}">
              <c16:uniqueId val="{00000000-4D90-4E14-8463-26F8568C9CFF}"/>
            </c:ext>
          </c:extLst>
        </c:ser>
        <c:dLbls>
          <c:showLegendKey val="0"/>
          <c:showVal val="0"/>
          <c:showCatName val="0"/>
          <c:showSerName val="0"/>
          <c:showPercent val="0"/>
          <c:showBubbleSize val="0"/>
        </c:dLbls>
        <c:gapWidth val="100"/>
        <c:overlap val="-24"/>
        <c:axId val="635908511"/>
        <c:axId val="787029007"/>
      </c:barChart>
      <c:catAx>
        <c:axId val="6359085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029007"/>
        <c:crosses val="autoZero"/>
        <c:auto val="1"/>
        <c:lblAlgn val="ctr"/>
        <c:lblOffset val="100"/>
        <c:noMultiLvlLbl val="0"/>
      </c:catAx>
      <c:valAx>
        <c:axId val="7870290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90851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analysis-done.xlsx]Pivot table!PivotTable12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solidFill>
                  <a:schemeClr val="accent2"/>
                </a:solidFill>
              </a:rPr>
              <a:t>Count of Products in relation to Discount%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table'!$B$224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table'!$A$225:$A$270</c:f>
              <c:strCache>
                <c:ptCount val="45"/>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38%</c:v>
                </c:pt>
                <c:pt idx="28">
                  <c:v>39%</c:v>
                </c:pt>
                <c:pt idx="29">
                  <c:v>40%</c:v>
                </c:pt>
                <c:pt idx="30">
                  <c:v>41%</c:v>
                </c:pt>
                <c:pt idx="31">
                  <c:v>42%</c:v>
                </c:pt>
                <c:pt idx="32">
                  <c:v>43%</c:v>
                </c:pt>
                <c:pt idx="33">
                  <c:v>45%</c:v>
                </c:pt>
                <c:pt idx="34">
                  <c:v>46%</c:v>
                </c:pt>
                <c:pt idx="35">
                  <c:v>47%</c:v>
                </c:pt>
                <c:pt idx="36">
                  <c:v>48%</c:v>
                </c:pt>
                <c:pt idx="37">
                  <c:v>49%</c:v>
                </c:pt>
                <c:pt idx="38">
                  <c:v>50%</c:v>
                </c:pt>
                <c:pt idx="39">
                  <c:v>51%</c:v>
                </c:pt>
                <c:pt idx="40">
                  <c:v>52%</c:v>
                </c:pt>
                <c:pt idx="41">
                  <c:v>53%</c:v>
                </c:pt>
                <c:pt idx="42">
                  <c:v>54%</c:v>
                </c:pt>
                <c:pt idx="43">
                  <c:v>55%</c:v>
                </c:pt>
                <c:pt idx="44">
                  <c:v>61%</c:v>
                </c:pt>
              </c:strCache>
            </c:strRef>
          </c:cat>
          <c:val>
            <c:numRef>
              <c:f>'Pivot table'!$B$225:$B$270</c:f>
              <c:numCache>
                <c:formatCode>General</c:formatCode>
                <c:ptCount val="45"/>
                <c:pt idx="0">
                  <c:v>1</c:v>
                </c:pt>
                <c:pt idx="1">
                  <c:v>6</c:v>
                </c:pt>
                <c:pt idx="2">
                  <c:v>1</c:v>
                </c:pt>
                <c:pt idx="3">
                  <c:v>2</c:v>
                </c:pt>
                <c:pt idx="4">
                  <c:v>1</c:v>
                </c:pt>
                <c:pt idx="5">
                  <c:v>1</c:v>
                </c:pt>
                <c:pt idx="6">
                  <c:v>1</c:v>
                </c:pt>
                <c:pt idx="7">
                  <c:v>1</c:v>
                </c:pt>
                <c:pt idx="8">
                  <c:v>2</c:v>
                </c:pt>
                <c:pt idx="9">
                  <c:v>1</c:v>
                </c:pt>
                <c:pt idx="10">
                  <c:v>1</c:v>
                </c:pt>
                <c:pt idx="11">
                  <c:v>1</c:v>
                </c:pt>
                <c:pt idx="12">
                  <c:v>1</c:v>
                </c:pt>
                <c:pt idx="13">
                  <c:v>2</c:v>
                </c:pt>
                <c:pt idx="14">
                  <c:v>1</c:v>
                </c:pt>
                <c:pt idx="15">
                  <c:v>2</c:v>
                </c:pt>
                <c:pt idx="16">
                  <c:v>1</c:v>
                </c:pt>
                <c:pt idx="17">
                  <c:v>1</c:v>
                </c:pt>
                <c:pt idx="18">
                  <c:v>3</c:v>
                </c:pt>
                <c:pt idx="19">
                  <c:v>1</c:v>
                </c:pt>
                <c:pt idx="20">
                  <c:v>1</c:v>
                </c:pt>
                <c:pt idx="21">
                  <c:v>1</c:v>
                </c:pt>
                <c:pt idx="22">
                  <c:v>2</c:v>
                </c:pt>
                <c:pt idx="23">
                  <c:v>4</c:v>
                </c:pt>
                <c:pt idx="24">
                  <c:v>2</c:v>
                </c:pt>
                <c:pt idx="25">
                  <c:v>1</c:v>
                </c:pt>
                <c:pt idx="26">
                  <c:v>2</c:v>
                </c:pt>
                <c:pt idx="27">
                  <c:v>4</c:v>
                </c:pt>
                <c:pt idx="28">
                  <c:v>1</c:v>
                </c:pt>
                <c:pt idx="29">
                  <c:v>1</c:v>
                </c:pt>
                <c:pt idx="30">
                  <c:v>3</c:v>
                </c:pt>
                <c:pt idx="31">
                  <c:v>6</c:v>
                </c:pt>
                <c:pt idx="32">
                  <c:v>4</c:v>
                </c:pt>
                <c:pt idx="33">
                  <c:v>4</c:v>
                </c:pt>
                <c:pt idx="34">
                  <c:v>3</c:v>
                </c:pt>
                <c:pt idx="35">
                  <c:v>7</c:v>
                </c:pt>
                <c:pt idx="36">
                  <c:v>4</c:v>
                </c:pt>
                <c:pt idx="37">
                  <c:v>14</c:v>
                </c:pt>
                <c:pt idx="38">
                  <c:v>6</c:v>
                </c:pt>
                <c:pt idx="39">
                  <c:v>1</c:v>
                </c:pt>
                <c:pt idx="40">
                  <c:v>2</c:v>
                </c:pt>
                <c:pt idx="41">
                  <c:v>2</c:v>
                </c:pt>
                <c:pt idx="42">
                  <c:v>2</c:v>
                </c:pt>
                <c:pt idx="43">
                  <c:v>3</c:v>
                </c:pt>
                <c:pt idx="44">
                  <c:v>1</c:v>
                </c:pt>
              </c:numCache>
            </c:numRef>
          </c:val>
          <c:extLst>
            <c:ext xmlns:c16="http://schemas.microsoft.com/office/drawing/2014/chart" uri="{C3380CC4-5D6E-409C-BE32-E72D297353CC}">
              <c16:uniqueId val="{00000000-97BF-47E5-9537-3E98C5CD2752}"/>
            </c:ext>
          </c:extLst>
        </c:ser>
        <c:dLbls>
          <c:showLegendKey val="0"/>
          <c:showVal val="0"/>
          <c:showCatName val="0"/>
          <c:showSerName val="0"/>
          <c:showPercent val="0"/>
          <c:showBubbleSize val="0"/>
        </c:dLbls>
        <c:gapWidth val="150"/>
        <c:overlap val="100"/>
        <c:axId val="638018687"/>
        <c:axId val="787001167"/>
      </c:barChart>
      <c:catAx>
        <c:axId val="6380186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001167"/>
        <c:crosses val="autoZero"/>
        <c:auto val="1"/>
        <c:lblAlgn val="ctr"/>
        <c:lblOffset val="100"/>
        <c:noMultiLvlLbl val="0"/>
      </c:catAx>
      <c:valAx>
        <c:axId val="7870011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801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analysis-done.xlsx]Pivot table!PivotTable13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2"/>
                </a:solidFill>
              </a:rPr>
              <a:t> Rating Vs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table'!$B$275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table'!$A$276:$A$279</c:f>
              <c:strCache>
                <c:ptCount val="3"/>
                <c:pt idx="0">
                  <c:v>High Price</c:v>
                </c:pt>
                <c:pt idx="1">
                  <c:v>Low Price</c:v>
                </c:pt>
                <c:pt idx="2">
                  <c:v>Medium Price</c:v>
                </c:pt>
              </c:strCache>
            </c:strRef>
          </c:cat>
          <c:val>
            <c:numRef>
              <c:f>'Pivot table'!$B$276:$B$279</c:f>
              <c:numCache>
                <c:formatCode>General</c:formatCode>
                <c:ptCount val="3"/>
                <c:pt idx="0">
                  <c:v>4.0842105263157888</c:v>
                </c:pt>
                <c:pt idx="1">
                  <c:v>3.6357142857142857</c:v>
                </c:pt>
                <c:pt idx="2">
                  <c:v>3.8833333333333333</c:v>
                </c:pt>
              </c:numCache>
            </c:numRef>
          </c:val>
          <c:extLst>
            <c:ext xmlns:c16="http://schemas.microsoft.com/office/drawing/2014/chart" uri="{C3380CC4-5D6E-409C-BE32-E72D297353CC}">
              <c16:uniqueId val="{00000000-C201-47CB-BFFB-7178B2741D6C}"/>
            </c:ext>
          </c:extLst>
        </c:ser>
        <c:dLbls>
          <c:dLblPos val="outEnd"/>
          <c:showLegendKey val="0"/>
          <c:showVal val="1"/>
          <c:showCatName val="0"/>
          <c:showSerName val="0"/>
          <c:showPercent val="0"/>
          <c:showBubbleSize val="0"/>
        </c:dLbls>
        <c:gapWidth val="100"/>
        <c:overlap val="-24"/>
        <c:axId val="627265311"/>
        <c:axId val="787017487"/>
      </c:barChart>
      <c:catAx>
        <c:axId val="6272653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017487"/>
        <c:crosses val="autoZero"/>
        <c:auto val="1"/>
        <c:lblAlgn val="ctr"/>
        <c:lblOffset val="100"/>
        <c:noMultiLvlLbl val="0"/>
      </c:catAx>
      <c:valAx>
        <c:axId val="7870174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726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analysis-done.xlsx]Pivot table!PivotTable14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2"/>
                </a:solidFill>
              </a:rPr>
              <a:t> Discount Vs Reviews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table'!$B$284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table'!$A$285:$A$288</c:f>
              <c:strCache>
                <c:ptCount val="3"/>
                <c:pt idx="0">
                  <c:v>High Discount</c:v>
                </c:pt>
                <c:pt idx="1">
                  <c:v>Low Discount</c:v>
                </c:pt>
                <c:pt idx="2">
                  <c:v>Medium Discount</c:v>
                </c:pt>
              </c:strCache>
            </c:strRef>
          </c:cat>
          <c:val>
            <c:numRef>
              <c:f>'Pivot table'!$B$285:$B$288</c:f>
              <c:numCache>
                <c:formatCode>General</c:formatCode>
                <c:ptCount val="3"/>
                <c:pt idx="0">
                  <c:v>327</c:v>
                </c:pt>
                <c:pt idx="1">
                  <c:v>48</c:v>
                </c:pt>
                <c:pt idx="2">
                  <c:v>348</c:v>
                </c:pt>
              </c:numCache>
            </c:numRef>
          </c:val>
          <c:extLst>
            <c:ext xmlns:c16="http://schemas.microsoft.com/office/drawing/2014/chart" uri="{C3380CC4-5D6E-409C-BE32-E72D297353CC}">
              <c16:uniqueId val="{00000000-E0D0-4909-BB25-035B4B9EE987}"/>
            </c:ext>
          </c:extLst>
        </c:ser>
        <c:dLbls>
          <c:dLblPos val="outEnd"/>
          <c:showLegendKey val="0"/>
          <c:showVal val="1"/>
          <c:showCatName val="0"/>
          <c:showSerName val="0"/>
          <c:showPercent val="0"/>
          <c:showBubbleSize val="0"/>
        </c:dLbls>
        <c:gapWidth val="100"/>
        <c:overlap val="-24"/>
        <c:axId val="627298719"/>
        <c:axId val="787004047"/>
      </c:barChart>
      <c:catAx>
        <c:axId val="6272987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004047"/>
        <c:crosses val="autoZero"/>
        <c:auto val="1"/>
        <c:lblAlgn val="ctr"/>
        <c:lblOffset val="100"/>
        <c:noMultiLvlLbl val="0"/>
      </c:catAx>
      <c:valAx>
        <c:axId val="7870040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729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analysis-done.xlsx]Pivot table!PivotTable15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2"/>
                </a:solidFill>
              </a:rPr>
              <a:t>Rating Vs Reviews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table'!$B$293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08D-4453-A874-EDF910849B3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08D-4453-A874-EDF910849B3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08D-4453-A874-EDF910849B3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E08D-4453-A874-EDF910849B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table'!$A$294:$A$298</c:f>
              <c:strCache>
                <c:ptCount val="4"/>
                <c:pt idx="0">
                  <c:v>Average</c:v>
                </c:pt>
                <c:pt idx="1">
                  <c:v>Excellent</c:v>
                </c:pt>
                <c:pt idx="2">
                  <c:v>Missing</c:v>
                </c:pt>
                <c:pt idx="3">
                  <c:v>Poor</c:v>
                </c:pt>
              </c:strCache>
            </c:strRef>
          </c:cat>
          <c:val>
            <c:numRef>
              <c:f>'Pivot table'!$B$294:$B$298</c:f>
              <c:numCache>
                <c:formatCode>General</c:formatCode>
                <c:ptCount val="4"/>
                <c:pt idx="0">
                  <c:v>265</c:v>
                </c:pt>
                <c:pt idx="1">
                  <c:v>289</c:v>
                </c:pt>
                <c:pt idx="3">
                  <c:v>169</c:v>
                </c:pt>
              </c:numCache>
            </c:numRef>
          </c:val>
          <c:extLst>
            <c:ext xmlns:c16="http://schemas.microsoft.com/office/drawing/2014/chart" uri="{C3380CC4-5D6E-409C-BE32-E72D297353CC}">
              <c16:uniqueId val="{00000000-07B2-4AEE-8461-4170DFA4FA8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analysis-done.xlsx]Pivot table!PivotTable7</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2"/>
                </a:solidFill>
              </a:rPr>
              <a:t>Top 10 Products by Rating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817768960948127"/>
          <c:y val="0.21779003673529515"/>
          <c:w val="0.48303736571354011"/>
          <c:h val="0.65754459089044237"/>
        </c:manualLayout>
      </c:layout>
      <c:barChart>
        <c:barDir val="bar"/>
        <c:grouping val="clustered"/>
        <c:varyColors val="0"/>
        <c:ser>
          <c:idx val="0"/>
          <c:order val="0"/>
          <c:tx>
            <c:strRef>
              <c:f>'Pivot table'!$B$113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table'!$A$114:$A$124</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'Pivot table'!$B$114:$B$124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B164-4DDB-A3AC-F2B63C67C887}"/>
            </c:ext>
          </c:extLst>
        </c:ser>
        <c:dLbls>
          <c:dLblPos val="outEnd"/>
          <c:showLegendKey val="0"/>
          <c:showVal val="1"/>
          <c:showCatName val="0"/>
          <c:showSerName val="0"/>
          <c:showPercent val="0"/>
          <c:showBubbleSize val="0"/>
        </c:dLbls>
        <c:gapWidth val="115"/>
        <c:overlap val="-20"/>
        <c:axId val="636531839"/>
        <c:axId val="786996847"/>
      </c:barChart>
      <c:catAx>
        <c:axId val="6365318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6996847"/>
        <c:crosses val="autoZero"/>
        <c:auto val="1"/>
        <c:lblAlgn val="ctr"/>
        <c:lblOffset val="100"/>
        <c:noMultiLvlLbl val="0"/>
      </c:catAx>
      <c:valAx>
        <c:axId val="78699684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653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analysis-done.xlsx]Pivot table!PivotTable6</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a:solidFill>
                  <a:schemeClr val="accent2"/>
                </a:solidFill>
              </a:rPr>
              <a:t>Top 10 Products by Review</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274503461214982"/>
          <c:y val="0.28643299795858851"/>
          <c:w val="0.47024230407696493"/>
          <c:h val="0.62968613298337706"/>
        </c:manualLayout>
      </c:layout>
      <c:barChart>
        <c:barDir val="bar"/>
        <c:grouping val="clustered"/>
        <c:varyColors val="0"/>
        <c:ser>
          <c:idx val="0"/>
          <c:order val="0"/>
          <c:tx>
            <c:strRef>
              <c:f>'Pivot table'!$B$95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table'!$A$96:$A$106</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'Pivot table'!$B$96:$B$106</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8464-4202-B412-6D7C4101229C}"/>
            </c:ext>
          </c:extLst>
        </c:ser>
        <c:dLbls>
          <c:dLblPos val="outEnd"/>
          <c:showLegendKey val="0"/>
          <c:showVal val="1"/>
          <c:showCatName val="0"/>
          <c:showSerName val="0"/>
          <c:showPercent val="0"/>
          <c:showBubbleSize val="0"/>
        </c:dLbls>
        <c:gapWidth val="115"/>
        <c:overlap val="-20"/>
        <c:axId val="620843279"/>
        <c:axId val="787015567"/>
      </c:barChart>
      <c:catAx>
        <c:axId val="6208432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015567"/>
        <c:crosses val="autoZero"/>
        <c:auto val="1"/>
        <c:lblAlgn val="ctr"/>
        <c:lblOffset val="100"/>
        <c:noMultiLvlLbl val="0"/>
      </c:catAx>
      <c:valAx>
        <c:axId val="78701556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084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analysis-done.xlsx]Pivot table!PivotTable5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a:solidFill>
                  <a:schemeClr val="accent2"/>
                </a:solidFill>
              </a:rPr>
              <a:t>Top 10 products by discount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881462903732293"/>
          <c:y val="0.26615508114727626"/>
          <c:w val="0.46026839552056986"/>
          <c:h val="0.63010911264797975"/>
        </c:manualLayout>
      </c:layout>
      <c:barChart>
        <c:barDir val="bar"/>
        <c:grouping val="clustered"/>
        <c:varyColors val="0"/>
        <c:ser>
          <c:idx val="0"/>
          <c:order val="0"/>
          <c:tx>
            <c:strRef>
              <c:f>'Pivot table'!$B$79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table'!$A$80:$A$90</c:f>
              <c:strCache>
                <c:ptCount val="10"/>
                <c:pt idx="0">
                  <c:v>Pen Grips For Kids Pen Grip Posture Correction Tool For Kids</c:v>
                </c:pt>
                <c:pt idx="1">
                  <c:v>Mythco 120Cob Solar Wall Ligt With Motion Sensor And Remote Control 3 Modes</c:v>
                </c:pt>
                <c:pt idx="2">
                  <c:v>Lasa Folding Table Serving Stand</c:v>
                </c:pt>
                <c:pt idx="3">
                  <c:v>Intelligent  Led Body Sensor Wireless Lighting Night Light Usb</c:v>
                </c:pt>
                <c:pt idx="4">
                  <c:v>Lasa 3 Tier Bamboo Shoe Bench Storage Shelf</c:v>
                </c:pt>
                <c:pt idx="5">
                  <c:v>120W Cordless Vacuum Cleaners Handheld Electric Vacuum Cleaner</c:v>
                </c:pt>
                <c:pt idx="6">
                  <c:v>Classic Black Cat Cotton Hemp Pillow Case For Home Car</c:v>
                </c:pt>
                <c:pt idx="7">
                  <c:v>3Pcs Single Head Knitting Crochet Sweater Needle Set</c:v>
                </c:pt>
                <c:pt idx="8">
                  <c:v>Artificial Potted Flowers Room Decorative Flowers (2 Pieces)</c:v>
                </c:pt>
                <c:pt idx="9">
                  <c:v>Exfoliate And Exfoliate Face Towel - Black</c:v>
                </c:pt>
              </c:strCache>
            </c:strRef>
          </c:cat>
          <c:val>
            <c:numRef>
              <c:f>'Pivot table'!$B$80:$B$90</c:f>
              <c:numCache>
                <c:formatCode>0%</c:formatCode>
                <c:ptCount val="10"/>
                <c:pt idx="0">
                  <c:v>0.61</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A80D-4FE1-A53B-257BF46DF375}"/>
            </c:ext>
          </c:extLst>
        </c:ser>
        <c:dLbls>
          <c:dLblPos val="inEnd"/>
          <c:showLegendKey val="0"/>
          <c:showVal val="1"/>
          <c:showCatName val="0"/>
          <c:showSerName val="0"/>
          <c:showPercent val="0"/>
          <c:showBubbleSize val="0"/>
        </c:dLbls>
        <c:gapWidth val="115"/>
        <c:overlap val="-20"/>
        <c:axId val="720355423"/>
        <c:axId val="473751855"/>
      </c:barChart>
      <c:catAx>
        <c:axId val="7203554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3751855"/>
        <c:crosses val="autoZero"/>
        <c:auto val="1"/>
        <c:lblAlgn val="ctr"/>
        <c:lblOffset val="100"/>
        <c:noMultiLvlLbl val="0"/>
      </c:catAx>
      <c:valAx>
        <c:axId val="473751855"/>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035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analysis-done.xlsx]Pivot table!PivotTable14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a:solidFill>
                  <a:schemeClr val="accent2"/>
                </a:solidFill>
              </a:rPr>
              <a:t> Discount Vs Reviews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table'!$B$284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table'!$A$285:$A$288</c:f>
              <c:strCache>
                <c:ptCount val="3"/>
                <c:pt idx="0">
                  <c:v>High Discount</c:v>
                </c:pt>
                <c:pt idx="1">
                  <c:v>Low Discount</c:v>
                </c:pt>
                <c:pt idx="2">
                  <c:v>Medium Discount</c:v>
                </c:pt>
              </c:strCache>
            </c:strRef>
          </c:cat>
          <c:val>
            <c:numRef>
              <c:f>'Pivot table'!$B$285:$B$288</c:f>
              <c:numCache>
                <c:formatCode>General</c:formatCode>
                <c:ptCount val="3"/>
                <c:pt idx="0">
                  <c:v>327</c:v>
                </c:pt>
                <c:pt idx="1">
                  <c:v>48</c:v>
                </c:pt>
                <c:pt idx="2">
                  <c:v>348</c:v>
                </c:pt>
              </c:numCache>
            </c:numRef>
          </c:val>
          <c:extLst>
            <c:ext xmlns:c16="http://schemas.microsoft.com/office/drawing/2014/chart" uri="{C3380CC4-5D6E-409C-BE32-E72D297353CC}">
              <c16:uniqueId val="{00000000-ECE8-4B16-9FD1-C3F1C4493BFB}"/>
            </c:ext>
          </c:extLst>
        </c:ser>
        <c:dLbls>
          <c:dLblPos val="outEnd"/>
          <c:showLegendKey val="0"/>
          <c:showVal val="1"/>
          <c:showCatName val="0"/>
          <c:showSerName val="0"/>
          <c:showPercent val="0"/>
          <c:showBubbleSize val="0"/>
        </c:dLbls>
        <c:gapWidth val="100"/>
        <c:overlap val="-24"/>
        <c:axId val="627298719"/>
        <c:axId val="787004047"/>
      </c:barChart>
      <c:catAx>
        <c:axId val="6272987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004047"/>
        <c:crosses val="autoZero"/>
        <c:auto val="1"/>
        <c:lblAlgn val="ctr"/>
        <c:lblOffset val="100"/>
        <c:noMultiLvlLbl val="0"/>
      </c:catAx>
      <c:valAx>
        <c:axId val="7870040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729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analysis-done.xlsx]Pivot table!PivotTable15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a:solidFill>
                  <a:schemeClr val="accent2"/>
                </a:solidFill>
              </a:rPr>
              <a:t>Rating Vs Reviews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8623557566997603E-2"/>
          <c:y val="0.34735595899428828"/>
          <c:w val="0.64715778499158827"/>
          <c:h val="0.65098054649570125"/>
        </c:manualLayout>
      </c:layout>
      <c:pie3DChart>
        <c:varyColors val="1"/>
        <c:ser>
          <c:idx val="0"/>
          <c:order val="0"/>
          <c:tx>
            <c:strRef>
              <c:f>'Pivot table'!$B$293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152-4569-BBCF-0F2C908DC3B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152-4569-BBCF-0F2C908DC3B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152-4569-BBCF-0F2C908DC3B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1568-4AE2-923E-98E1501034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table'!$A$294:$A$298</c:f>
              <c:strCache>
                <c:ptCount val="4"/>
                <c:pt idx="0">
                  <c:v>Average</c:v>
                </c:pt>
                <c:pt idx="1">
                  <c:v>Excellent</c:v>
                </c:pt>
                <c:pt idx="2">
                  <c:v>Missing</c:v>
                </c:pt>
                <c:pt idx="3">
                  <c:v>Poor</c:v>
                </c:pt>
              </c:strCache>
            </c:strRef>
          </c:cat>
          <c:val>
            <c:numRef>
              <c:f>'Pivot table'!$B$294:$B$298</c:f>
              <c:numCache>
                <c:formatCode>General</c:formatCode>
                <c:ptCount val="4"/>
                <c:pt idx="0">
                  <c:v>265</c:v>
                </c:pt>
                <c:pt idx="1">
                  <c:v>289</c:v>
                </c:pt>
                <c:pt idx="3">
                  <c:v>169</c:v>
                </c:pt>
              </c:numCache>
            </c:numRef>
          </c:val>
          <c:extLst>
            <c:ext xmlns:c16="http://schemas.microsoft.com/office/drawing/2014/chart" uri="{C3380CC4-5D6E-409C-BE32-E72D297353CC}">
              <c16:uniqueId val="{00000006-9152-4569-BBCF-0F2C908DC3B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analysis-done.xlsx]Pivot table!PivotTable13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a:solidFill>
                  <a:schemeClr val="accent2"/>
                </a:solidFill>
              </a:rPr>
              <a:t> Rating Vs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table'!$B$275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table'!$A$276:$A$279</c:f>
              <c:strCache>
                <c:ptCount val="3"/>
                <c:pt idx="0">
                  <c:v>High Price</c:v>
                </c:pt>
                <c:pt idx="1">
                  <c:v>Low Price</c:v>
                </c:pt>
                <c:pt idx="2">
                  <c:v>Medium Price</c:v>
                </c:pt>
              </c:strCache>
            </c:strRef>
          </c:cat>
          <c:val>
            <c:numRef>
              <c:f>'Pivot table'!$B$276:$B$279</c:f>
              <c:numCache>
                <c:formatCode>General</c:formatCode>
                <c:ptCount val="3"/>
                <c:pt idx="0">
                  <c:v>4.0842105263157888</c:v>
                </c:pt>
                <c:pt idx="1">
                  <c:v>3.6357142857142857</c:v>
                </c:pt>
                <c:pt idx="2">
                  <c:v>3.8833333333333333</c:v>
                </c:pt>
              </c:numCache>
            </c:numRef>
          </c:val>
          <c:extLst>
            <c:ext xmlns:c16="http://schemas.microsoft.com/office/drawing/2014/chart" uri="{C3380CC4-5D6E-409C-BE32-E72D297353CC}">
              <c16:uniqueId val="{00000000-B028-4649-9844-1CB8044834EA}"/>
            </c:ext>
          </c:extLst>
        </c:ser>
        <c:dLbls>
          <c:dLblPos val="outEnd"/>
          <c:showLegendKey val="0"/>
          <c:showVal val="1"/>
          <c:showCatName val="0"/>
          <c:showSerName val="0"/>
          <c:showPercent val="0"/>
          <c:showBubbleSize val="0"/>
        </c:dLbls>
        <c:gapWidth val="100"/>
        <c:overlap val="-24"/>
        <c:axId val="627265311"/>
        <c:axId val="787017487"/>
      </c:barChart>
      <c:catAx>
        <c:axId val="6272653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017487"/>
        <c:crosses val="autoZero"/>
        <c:auto val="1"/>
        <c:lblAlgn val="ctr"/>
        <c:lblOffset val="100"/>
        <c:noMultiLvlLbl val="0"/>
      </c:catAx>
      <c:valAx>
        <c:axId val="7870174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726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analysis-done.xlsx]Pivot table!PivotTable11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b="1">
                <a:solidFill>
                  <a:schemeClr val="accent2"/>
                </a:solidFill>
              </a:rPr>
              <a:t>Count of Products in relation to rates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091682205845369E-2"/>
          <c:y val="0.13598079895893633"/>
          <c:w val="0.89028543721345654"/>
          <c:h val="0.69002380413017839"/>
        </c:manualLayout>
      </c:layout>
      <c:barChart>
        <c:barDir val="col"/>
        <c:grouping val="clustered"/>
        <c:varyColors val="0"/>
        <c:ser>
          <c:idx val="0"/>
          <c:order val="0"/>
          <c:tx>
            <c:strRef>
              <c:f>'Pivot table'!$B$196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table'!$A$197:$A$220</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(blank)</c:v>
                </c:pt>
              </c:strCache>
            </c:strRef>
          </c:cat>
          <c:val>
            <c:numRef>
              <c:f>'Pivot table'!$B$197:$B$220</c:f>
              <c:numCache>
                <c:formatCode>General</c:formatCode>
                <c:ptCount val="23"/>
                <c:pt idx="0">
                  <c:v>1</c:v>
                </c:pt>
                <c:pt idx="1">
                  <c:v>2</c:v>
                </c:pt>
                <c:pt idx="2">
                  <c:v>2</c:v>
                </c:pt>
                <c:pt idx="3">
                  <c:v>2</c:v>
                </c:pt>
                <c:pt idx="4">
                  <c:v>1</c:v>
                </c:pt>
                <c:pt idx="5">
                  <c:v>1</c:v>
                </c:pt>
                <c:pt idx="6">
                  <c:v>1</c:v>
                </c:pt>
                <c:pt idx="7">
                  <c:v>1</c:v>
                </c:pt>
                <c:pt idx="8">
                  <c:v>1</c:v>
                </c:pt>
                <c:pt idx="9">
                  <c:v>5</c:v>
                </c:pt>
                <c:pt idx="10">
                  <c:v>1</c:v>
                </c:pt>
                <c:pt idx="11">
                  <c:v>3</c:v>
                </c:pt>
                <c:pt idx="12">
                  <c:v>4</c:v>
                </c:pt>
                <c:pt idx="13">
                  <c:v>3</c:v>
                </c:pt>
                <c:pt idx="14">
                  <c:v>1</c:v>
                </c:pt>
                <c:pt idx="15">
                  <c:v>4</c:v>
                </c:pt>
                <c:pt idx="16">
                  <c:v>1</c:v>
                </c:pt>
                <c:pt idx="17">
                  <c:v>4</c:v>
                </c:pt>
                <c:pt idx="18">
                  <c:v>5</c:v>
                </c:pt>
                <c:pt idx="19">
                  <c:v>4</c:v>
                </c:pt>
                <c:pt idx="20">
                  <c:v>3</c:v>
                </c:pt>
                <c:pt idx="21">
                  <c:v>7</c:v>
                </c:pt>
                <c:pt idx="22">
                  <c:v>55</c:v>
                </c:pt>
              </c:numCache>
            </c:numRef>
          </c:val>
          <c:extLst>
            <c:ext xmlns:c16="http://schemas.microsoft.com/office/drawing/2014/chart" uri="{C3380CC4-5D6E-409C-BE32-E72D297353CC}">
              <c16:uniqueId val="{00000000-FA01-407F-89E3-AA5E76DDF4C8}"/>
            </c:ext>
          </c:extLst>
        </c:ser>
        <c:dLbls>
          <c:showLegendKey val="0"/>
          <c:showVal val="0"/>
          <c:showCatName val="0"/>
          <c:showSerName val="0"/>
          <c:showPercent val="0"/>
          <c:showBubbleSize val="0"/>
        </c:dLbls>
        <c:gapWidth val="100"/>
        <c:overlap val="-24"/>
        <c:axId val="635908511"/>
        <c:axId val="787029007"/>
      </c:barChart>
      <c:catAx>
        <c:axId val="6359085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029007"/>
        <c:crosses val="autoZero"/>
        <c:auto val="1"/>
        <c:lblAlgn val="ctr"/>
        <c:lblOffset val="100"/>
        <c:noMultiLvlLbl val="0"/>
      </c:catAx>
      <c:valAx>
        <c:axId val="7870290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90851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analysis-done.xlsx]Pivot table!PivotTable12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b="1">
                <a:solidFill>
                  <a:schemeClr val="accent2"/>
                </a:solidFill>
              </a:rPr>
              <a:t>Count of Products in relation to Discount%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628474466263206E-2"/>
          <c:y val="0.17394605749350048"/>
          <c:w val="0.92727362373816546"/>
          <c:h val="0.5946270114937211"/>
        </c:manualLayout>
      </c:layout>
      <c:barChart>
        <c:barDir val="col"/>
        <c:grouping val="stacked"/>
        <c:varyColors val="0"/>
        <c:ser>
          <c:idx val="0"/>
          <c:order val="0"/>
          <c:tx>
            <c:strRef>
              <c:f>'Pivot table'!$B$224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table'!$A$225:$A$270</c:f>
              <c:strCache>
                <c:ptCount val="45"/>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38%</c:v>
                </c:pt>
                <c:pt idx="28">
                  <c:v>39%</c:v>
                </c:pt>
                <c:pt idx="29">
                  <c:v>40%</c:v>
                </c:pt>
                <c:pt idx="30">
                  <c:v>41%</c:v>
                </c:pt>
                <c:pt idx="31">
                  <c:v>42%</c:v>
                </c:pt>
                <c:pt idx="32">
                  <c:v>43%</c:v>
                </c:pt>
                <c:pt idx="33">
                  <c:v>45%</c:v>
                </c:pt>
                <c:pt idx="34">
                  <c:v>46%</c:v>
                </c:pt>
                <c:pt idx="35">
                  <c:v>47%</c:v>
                </c:pt>
                <c:pt idx="36">
                  <c:v>48%</c:v>
                </c:pt>
                <c:pt idx="37">
                  <c:v>49%</c:v>
                </c:pt>
                <c:pt idx="38">
                  <c:v>50%</c:v>
                </c:pt>
                <c:pt idx="39">
                  <c:v>51%</c:v>
                </c:pt>
                <c:pt idx="40">
                  <c:v>52%</c:v>
                </c:pt>
                <c:pt idx="41">
                  <c:v>53%</c:v>
                </c:pt>
                <c:pt idx="42">
                  <c:v>54%</c:v>
                </c:pt>
                <c:pt idx="43">
                  <c:v>55%</c:v>
                </c:pt>
                <c:pt idx="44">
                  <c:v>61%</c:v>
                </c:pt>
              </c:strCache>
            </c:strRef>
          </c:cat>
          <c:val>
            <c:numRef>
              <c:f>'Pivot table'!$B$225:$B$270</c:f>
              <c:numCache>
                <c:formatCode>General</c:formatCode>
                <c:ptCount val="45"/>
                <c:pt idx="0">
                  <c:v>1</c:v>
                </c:pt>
                <c:pt idx="1">
                  <c:v>6</c:v>
                </c:pt>
                <c:pt idx="2">
                  <c:v>1</c:v>
                </c:pt>
                <c:pt idx="3">
                  <c:v>2</c:v>
                </c:pt>
                <c:pt idx="4">
                  <c:v>1</c:v>
                </c:pt>
                <c:pt idx="5">
                  <c:v>1</c:v>
                </c:pt>
                <c:pt idx="6">
                  <c:v>1</c:v>
                </c:pt>
                <c:pt idx="7">
                  <c:v>1</c:v>
                </c:pt>
                <c:pt idx="8">
                  <c:v>2</c:v>
                </c:pt>
                <c:pt idx="9">
                  <c:v>1</c:v>
                </c:pt>
                <c:pt idx="10">
                  <c:v>1</c:v>
                </c:pt>
                <c:pt idx="11">
                  <c:v>1</c:v>
                </c:pt>
                <c:pt idx="12">
                  <c:v>1</c:v>
                </c:pt>
                <c:pt idx="13">
                  <c:v>2</c:v>
                </c:pt>
                <c:pt idx="14">
                  <c:v>1</c:v>
                </c:pt>
                <c:pt idx="15">
                  <c:v>2</c:v>
                </c:pt>
                <c:pt idx="16">
                  <c:v>1</c:v>
                </c:pt>
                <c:pt idx="17">
                  <c:v>1</c:v>
                </c:pt>
                <c:pt idx="18">
                  <c:v>3</c:v>
                </c:pt>
                <c:pt idx="19">
                  <c:v>1</c:v>
                </c:pt>
                <c:pt idx="20">
                  <c:v>1</c:v>
                </c:pt>
                <c:pt idx="21">
                  <c:v>1</c:v>
                </c:pt>
                <c:pt idx="22">
                  <c:v>2</c:v>
                </c:pt>
                <c:pt idx="23">
                  <c:v>4</c:v>
                </c:pt>
                <c:pt idx="24">
                  <c:v>2</c:v>
                </c:pt>
                <c:pt idx="25">
                  <c:v>1</c:v>
                </c:pt>
                <c:pt idx="26">
                  <c:v>2</c:v>
                </c:pt>
                <c:pt idx="27">
                  <c:v>4</c:v>
                </c:pt>
                <c:pt idx="28">
                  <c:v>1</c:v>
                </c:pt>
                <c:pt idx="29">
                  <c:v>1</c:v>
                </c:pt>
                <c:pt idx="30">
                  <c:v>3</c:v>
                </c:pt>
                <c:pt idx="31">
                  <c:v>6</c:v>
                </c:pt>
                <c:pt idx="32">
                  <c:v>4</c:v>
                </c:pt>
                <c:pt idx="33">
                  <c:v>4</c:v>
                </c:pt>
                <c:pt idx="34">
                  <c:v>3</c:v>
                </c:pt>
                <c:pt idx="35">
                  <c:v>7</c:v>
                </c:pt>
                <c:pt idx="36">
                  <c:v>4</c:v>
                </c:pt>
                <c:pt idx="37">
                  <c:v>14</c:v>
                </c:pt>
                <c:pt idx="38">
                  <c:v>6</c:v>
                </c:pt>
                <c:pt idx="39">
                  <c:v>1</c:v>
                </c:pt>
                <c:pt idx="40">
                  <c:v>2</c:v>
                </c:pt>
                <c:pt idx="41">
                  <c:v>2</c:v>
                </c:pt>
                <c:pt idx="42">
                  <c:v>2</c:v>
                </c:pt>
                <c:pt idx="43">
                  <c:v>3</c:v>
                </c:pt>
                <c:pt idx="44">
                  <c:v>1</c:v>
                </c:pt>
              </c:numCache>
            </c:numRef>
          </c:val>
          <c:extLst>
            <c:ext xmlns:c16="http://schemas.microsoft.com/office/drawing/2014/chart" uri="{C3380CC4-5D6E-409C-BE32-E72D297353CC}">
              <c16:uniqueId val="{00000000-E57D-4136-9790-85FB755472A7}"/>
            </c:ext>
          </c:extLst>
        </c:ser>
        <c:dLbls>
          <c:showLegendKey val="0"/>
          <c:showVal val="0"/>
          <c:showCatName val="0"/>
          <c:showSerName val="0"/>
          <c:showPercent val="0"/>
          <c:showBubbleSize val="0"/>
        </c:dLbls>
        <c:gapWidth val="150"/>
        <c:overlap val="100"/>
        <c:axId val="638018687"/>
        <c:axId val="787001167"/>
      </c:barChart>
      <c:catAx>
        <c:axId val="6380186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001167"/>
        <c:crosses val="autoZero"/>
        <c:auto val="1"/>
        <c:lblAlgn val="ctr"/>
        <c:lblOffset val="100"/>
        <c:noMultiLvlLbl val="0"/>
      </c:catAx>
      <c:valAx>
        <c:axId val="7870011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801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12211</xdr:colOff>
      <xdr:row>26</xdr:row>
      <xdr:rowOff>112835</xdr:rowOff>
    </xdr:from>
    <xdr:to>
      <xdr:col>3</xdr:col>
      <xdr:colOff>1764811</xdr:colOff>
      <xdr:row>41</xdr:row>
      <xdr:rowOff>160460</xdr:rowOff>
    </xdr:to>
    <xdr:graphicFrame macro="">
      <xdr:nvGraphicFramePr>
        <xdr:cNvPr id="10" name="Chart 9">
          <a:extLst>
            <a:ext uri="{FF2B5EF4-FFF2-40B4-BE49-F238E27FC236}">
              <a16:creationId xmlns:a16="http://schemas.microsoft.com/office/drawing/2014/main" id="{9E7F94C9-AC73-5558-6F6D-A18C9CB29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xdr:colOff>
      <xdr:row>44</xdr:row>
      <xdr:rowOff>0</xdr:rowOff>
    </xdr:from>
    <xdr:to>
      <xdr:col>3</xdr:col>
      <xdr:colOff>1796585</xdr:colOff>
      <xdr:row>60</xdr:row>
      <xdr:rowOff>122114</xdr:rowOff>
    </xdr:to>
    <xdr:graphicFrame macro="">
      <xdr:nvGraphicFramePr>
        <xdr:cNvPr id="11" name="Chart 10">
          <a:extLst>
            <a:ext uri="{FF2B5EF4-FFF2-40B4-BE49-F238E27FC236}">
              <a16:creationId xmlns:a16="http://schemas.microsoft.com/office/drawing/2014/main" id="{75BA426A-2661-711A-E45F-D730BF3D4D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162622</xdr:colOff>
      <xdr:row>63</xdr:row>
      <xdr:rowOff>131647</xdr:rowOff>
    </xdr:from>
    <xdr:to>
      <xdr:col>3</xdr:col>
      <xdr:colOff>1602988</xdr:colOff>
      <xdr:row>93</xdr:row>
      <xdr:rowOff>146540</xdr:rowOff>
    </xdr:to>
    <xdr:graphicFrame macro="">
      <xdr:nvGraphicFramePr>
        <xdr:cNvPr id="12" name="Chart 11">
          <a:extLst>
            <a:ext uri="{FF2B5EF4-FFF2-40B4-BE49-F238E27FC236}">
              <a16:creationId xmlns:a16="http://schemas.microsoft.com/office/drawing/2014/main" id="{5B2F5B38-3FB8-4458-C4A6-A8D1C72FE6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476249</xdr:colOff>
      <xdr:row>76</xdr:row>
      <xdr:rowOff>72572</xdr:rowOff>
    </xdr:from>
    <xdr:to>
      <xdr:col>17</xdr:col>
      <xdr:colOff>344714</xdr:colOff>
      <xdr:row>92</xdr:row>
      <xdr:rowOff>0</xdr:rowOff>
    </xdr:to>
    <xdr:graphicFrame macro="">
      <xdr:nvGraphicFramePr>
        <xdr:cNvPr id="2" name="Chart 1">
          <a:extLst>
            <a:ext uri="{FF2B5EF4-FFF2-40B4-BE49-F238E27FC236}">
              <a16:creationId xmlns:a16="http://schemas.microsoft.com/office/drawing/2014/main" id="{DC0673E7-1844-712E-1555-6816BBA462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444500</xdr:colOff>
      <xdr:row>93</xdr:row>
      <xdr:rowOff>136073</xdr:rowOff>
    </xdr:from>
    <xdr:to>
      <xdr:col>17</xdr:col>
      <xdr:colOff>417286</xdr:colOff>
      <xdr:row>109</xdr:row>
      <xdr:rowOff>54430</xdr:rowOff>
    </xdr:to>
    <xdr:graphicFrame macro="">
      <xdr:nvGraphicFramePr>
        <xdr:cNvPr id="4" name="Chart 3">
          <a:extLst>
            <a:ext uri="{FF2B5EF4-FFF2-40B4-BE49-F238E27FC236}">
              <a16:creationId xmlns:a16="http://schemas.microsoft.com/office/drawing/2014/main" id="{F0C36F2B-1183-2050-7632-B41EBBFADA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480784</xdr:colOff>
      <xdr:row>111</xdr:row>
      <xdr:rowOff>0</xdr:rowOff>
    </xdr:from>
    <xdr:to>
      <xdr:col>17</xdr:col>
      <xdr:colOff>235857</xdr:colOff>
      <xdr:row>127</xdr:row>
      <xdr:rowOff>63499</xdr:rowOff>
    </xdr:to>
    <xdr:graphicFrame macro="">
      <xdr:nvGraphicFramePr>
        <xdr:cNvPr id="5" name="Chart 4">
          <a:extLst>
            <a:ext uri="{FF2B5EF4-FFF2-40B4-BE49-F238E27FC236}">
              <a16:creationId xmlns:a16="http://schemas.microsoft.com/office/drawing/2014/main" id="{5501BB16-4E13-FE83-89BB-B54A241A5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154214</xdr:colOff>
      <xdr:row>194</xdr:row>
      <xdr:rowOff>145143</xdr:rowOff>
    </xdr:from>
    <xdr:to>
      <xdr:col>13</xdr:col>
      <xdr:colOff>353785</xdr:colOff>
      <xdr:row>219</xdr:row>
      <xdr:rowOff>54429</xdr:rowOff>
    </xdr:to>
    <xdr:graphicFrame macro="">
      <xdr:nvGraphicFramePr>
        <xdr:cNvPr id="7" name="Chart 6">
          <a:extLst>
            <a:ext uri="{FF2B5EF4-FFF2-40B4-BE49-F238E27FC236}">
              <a16:creationId xmlns:a16="http://schemas.microsoft.com/office/drawing/2014/main" id="{C9AA23F3-0D15-6BD1-8250-266A1DF2D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798285</xdr:colOff>
      <xdr:row>221</xdr:row>
      <xdr:rowOff>66221</xdr:rowOff>
    </xdr:from>
    <xdr:to>
      <xdr:col>16</xdr:col>
      <xdr:colOff>453570</xdr:colOff>
      <xdr:row>250</xdr:row>
      <xdr:rowOff>0</xdr:rowOff>
    </xdr:to>
    <xdr:graphicFrame macro="">
      <xdr:nvGraphicFramePr>
        <xdr:cNvPr id="8" name="Chart 7">
          <a:extLst>
            <a:ext uri="{FF2B5EF4-FFF2-40B4-BE49-F238E27FC236}">
              <a16:creationId xmlns:a16="http://schemas.microsoft.com/office/drawing/2014/main" id="{DED4EBD0-EC67-D03F-A6A0-BF334721F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58964</xdr:colOff>
      <xdr:row>266</xdr:row>
      <xdr:rowOff>102507</xdr:rowOff>
    </xdr:from>
    <xdr:to>
      <xdr:col>12</xdr:col>
      <xdr:colOff>376464</xdr:colOff>
      <xdr:row>281</xdr:row>
      <xdr:rowOff>124278</xdr:rowOff>
    </xdr:to>
    <xdr:graphicFrame macro="">
      <xdr:nvGraphicFramePr>
        <xdr:cNvPr id="9" name="Chart 8">
          <a:extLst>
            <a:ext uri="{FF2B5EF4-FFF2-40B4-BE49-F238E27FC236}">
              <a16:creationId xmlns:a16="http://schemas.microsoft.com/office/drawing/2014/main" id="{1A294E22-E79F-5713-40CE-FE1F276165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31749</xdr:colOff>
      <xdr:row>283</xdr:row>
      <xdr:rowOff>147864</xdr:rowOff>
    </xdr:from>
    <xdr:to>
      <xdr:col>16</xdr:col>
      <xdr:colOff>417285</xdr:colOff>
      <xdr:row>294</xdr:row>
      <xdr:rowOff>72571</xdr:rowOff>
    </xdr:to>
    <xdr:graphicFrame macro="">
      <xdr:nvGraphicFramePr>
        <xdr:cNvPr id="10" name="Chart 9">
          <a:extLst>
            <a:ext uri="{FF2B5EF4-FFF2-40B4-BE49-F238E27FC236}">
              <a16:creationId xmlns:a16="http://schemas.microsoft.com/office/drawing/2014/main" id="{EBBE5D2C-E2F1-E4B4-9AC3-AD9D73EEF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179614</xdr:colOff>
      <xdr:row>0</xdr:row>
      <xdr:rowOff>162378</xdr:rowOff>
    </xdr:from>
    <xdr:to>
      <xdr:col>7</xdr:col>
      <xdr:colOff>67127</xdr:colOff>
      <xdr:row>15</xdr:row>
      <xdr:rowOff>60321</xdr:rowOff>
    </xdr:to>
    <mc:AlternateContent xmlns:mc="http://schemas.openxmlformats.org/markup-compatibility/2006" xmlns:a14="http://schemas.microsoft.com/office/drawing/2010/main">
      <mc:Choice Requires="a14">
        <xdr:graphicFrame macro="">
          <xdr:nvGraphicFramePr>
            <xdr:cNvPr id="11" name="Price Category">
              <a:extLst>
                <a:ext uri="{FF2B5EF4-FFF2-40B4-BE49-F238E27FC236}">
                  <a16:creationId xmlns:a16="http://schemas.microsoft.com/office/drawing/2014/main" id="{A7150B7A-458F-BAC7-ED0C-DC17BA8DACE4}"/>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mlns="">
        <xdr:sp macro="" textlink="">
          <xdr:nvSpPr>
            <xdr:cNvPr id="0" name=""/>
            <xdr:cNvSpPr>
              <a:spLocks noTextEdit="1"/>
            </xdr:cNvSpPr>
          </xdr:nvSpPr>
          <xdr:spPr>
            <a:xfrm>
              <a:off x="8271328" y="162378"/>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220435</xdr:colOff>
      <xdr:row>0</xdr:row>
      <xdr:rowOff>139700</xdr:rowOff>
    </xdr:from>
    <xdr:to>
      <xdr:col>10</xdr:col>
      <xdr:colOff>225879</xdr:colOff>
      <xdr:row>15</xdr:row>
      <xdr:rowOff>37643</xdr:rowOff>
    </xdr:to>
    <mc:AlternateContent xmlns:mc="http://schemas.openxmlformats.org/markup-compatibility/2006" xmlns:a14="http://schemas.microsoft.com/office/drawing/2010/main">
      <mc:Choice Requires="a14">
        <xdr:graphicFrame macro="">
          <xdr:nvGraphicFramePr>
            <xdr:cNvPr id="12" name="Discount Category">
              <a:extLst>
                <a:ext uri="{FF2B5EF4-FFF2-40B4-BE49-F238E27FC236}">
                  <a16:creationId xmlns:a16="http://schemas.microsoft.com/office/drawing/2014/main" id="{622B4161-791D-7FBE-AB4B-AC04F3F5EDC8}"/>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10253435" y="1397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596900</xdr:colOff>
      <xdr:row>1</xdr:row>
      <xdr:rowOff>17235</xdr:rowOff>
    </xdr:from>
    <xdr:to>
      <xdr:col>13</xdr:col>
      <xdr:colOff>602343</xdr:colOff>
      <xdr:row>15</xdr:row>
      <xdr:rowOff>96607</xdr:rowOff>
    </xdr:to>
    <mc:AlternateContent xmlns:mc="http://schemas.openxmlformats.org/markup-compatibility/2006" xmlns:a14="http://schemas.microsoft.com/office/drawing/2010/main">
      <mc:Choice Requires="a14">
        <xdr:graphicFrame macro="">
          <xdr:nvGraphicFramePr>
            <xdr:cNvPr id="13" name="Rating Category">
              <a:extLst>
                <a:ext uri="{FF2B5EF4-FFF2-40B4-BE49-F238E27FC236}">
                  <a16:creationId xmlns:a16="http://schemas.microsoft.com/office/drawing/2014/main" id="{9AFB189A-1C2D-6602-878B-6AD3DB40B574}"/>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12453257" y="198664"/>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299357</xdr:colOff>
      <xdr:row>295</xdr:row>
      <xdr:rowOff>172357</xdr:rowOff>
    </xdr:from>
    <xdr:to>
      <xdr:col>16</xdr:col>
      <xdr:colOff>36286</xdr:colOff>
      <xdr:row>311</xdr:row>
      <xdr:rowOff>124278</xdr:rowOff>
    </xdr:to>
    <xdr:graphicFrame macro="">
      <xdr:nvGraphicFramePr>
        <xdr:cNvPr id="14" name="Chart 13">
          <a:extLst>
            <a:ext uri="{FF2B5EF4-FFF2-40B4-BE49-F238E27FC236}">
              <a16:creationId xmlns:a16="http://schemas.microsoft.com/office/drawing/2014/main" id="{0D443557-D686-1154-21CC-478048711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134917</xdr:colOff>
      <xdr:row>13</xdr:row>
      <xdr:rowOff>62291</xdr:rowOff>
    </xdr:from>
    <xdr:to>
      <xdr:col>11</xdr:col>
      <xdr:colOff>556750</xdr:colOff>
      <xdr:row>20</xdr:row>
      <xdr:rowOff>37437</xdr:rowOff>
    </xdr:to>
    <mc:AlternateContent xmlns:mc="http://schemas.openxmlformats.org/markup-compatibility/2006">
      <mc:Choice xmlns:a14="http://schemas.microsoft.com/office/drawing/2010/main" Requires="a14">
        <xdr:graphicFrame macro="">
          <xdr:nvGraphicFramePr>
            <xdr:cNvPr id="10" name="Price Category 1">
              <a:extLst>
                <a:ext uri="{FF2B5EF4-FFF2-40B4-BE49-F238E27FC236}">
                  <a16:creationId xmlns:a16="http://schemas.microsoft.com/office/drawing/2014/main" id="{5BCBA68B-B3D9-4DCE-8506-10E30725E425}"/>
                </a:ext>
              </a:extLst>
            </xdr:cNvPr>
            <xdr:cNvGraphicFramePr/>
          </xdr:nvGraphicFramePr>
          <xdr:xfrm>
            <a:off x="0" y="0"/>
            <a:ext cx="0" cy="0"/>
          </xdr:xfrm>
          <a:graphic>
            <a:graphicData uri="http://schemas.microsoft.com/office/drawing/2010/slicer">
              <sle:slicer xmlns:sle="http://schemas.microsoft.com/office/drawing/2010/slicer" name="Price Category 1"/>
            </a:graphicData>
          </a:graphic>
        </xdr:graphicFrame>
      </mc:Choice>
      <mc:Fallback>
        <xdr:sp macro="" textlink="">
          <xdr:nvSpPr>
            <xdr:cNvPr id="0" name=""/>
            <xdr:cNvSpPr>
              <a:spLocks noTextEdit="1"/>
            </xdr:cNvSpPr>
          </xdr:nvSpPr>
          <xdr:spPr>
            <a:xfrm>
              <a:off x="1960542" y="2469999"/>
              <a:ext cx="4946208" cy="12716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391235</xdr:colOff>
      <xdr:row>13</xdr:row>
      <xdr:rowOff>146451</xdr:rowOff>
    </xdr:from>
    <xdr:to>
      <xdr:col>22</xdr:col>
      <xdr:colOff>177326</xdr:colOff>
      <xdr:row>20</xdr:row>
      <xdr:rowOff>181389</xdr:rowOff>
    </xdr:to>
    <mc:AlternateContent xmlns:mc="http://schemas.openxmlformats.org/markup-compatibility/2006">
      <mc:Choice xmlns:a14="http://schemas.microsoft.com/office/drawing/2010/main" Requires="a14">
        <xdr:graphicFrame macro="">
          <xdr:nvGraphicFramePr>
            <xdr:cNvPr id="12" name="Discount Category 1">
              <a:extLst>
                <a:ext uri="{FF2B5EF4-FFF2-40B4-BE49-F238E27FC236}">
                  <a16:creationId xmlns:a16="http://schemas.microsoft.com/office/drawing/2014/main" id="{23DF9422-4F1C-4432-AF7D-C5340E403823}"/>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dr:sp macro="" textlink="">
          <xdr:nvSpPr>
            <xdr:cNvPr id="0" name=""/>
            <xdr:cNvSpPr>
              <a:spLocks noTextEdit="1"/>
            </xdr:cNvSpPr>
          </xdr:nvSpPr>
          <xdr:spPr>
            <a:xfrm>
              <a:off x="9175402" y="2554159"/>
              <a:ext cx="4045882" cy="13313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262544</xdr:colOff>
      <xdr:row>13</xdr:row>
      <xdr:rowOff>109516</xdr:rowOff>
    </xdr:from>
    <xdr:to>
      <xdr:col>30</xdr:col>
      <xdr:colOff>398843</xdr:colOff>
      <xdr:row>21</xdr:row>
      <xdr:rowOff>71030</xdr:rowOff>
    </xdr:to>
    <mc:AlternateContent xmlns:mc="http://schemas.openxmlformats.org/markup-compatibility/2006">
      <mc:Choice xmlns:a14="http://schemas.microsoft.com/office/drawing/2010/main" Requires="a14">
        <xdr:graphicFrame macro="">
          <xdr:nvGraphicFramePr>
            <xdr:cNvPr id="14" name="Rating Category 1">
              <a:extLst>
                <a:ext uri="{FF2B5EF4-FFF2-40B4-BE49-F238E27FC236}">
                  <a16:creationId xmlns:a16="http://schemas.microsoft.com/office/drawing/2014/main" id="{22DB0CA3-FCB2-419B-BCDE-773EE8149207}"/>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14523586" y="2517224"/>
              <a:ext cx="3787549" cy="14431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115453</xdr:colOff>
      <xdr:row>1</xdr:row>
      <xdr:rowOff>19243</xdr:rowOff>
    </xdr:from>
    <xdr:to>
      <xdr:col>40</xdr:col>
      <xdr:colOff>175639</xdr:colOff>
      <xdr:row>6</xdr:row>
      <xdr:rowOff>0</xdr:rowOff>
    </xdr:to>
    <xdr:sp macro="" textlink="">
      <xdr:nvSpPr>
        <xdr:cNvPr id="27" name="Rectangle: Rounded Corners 26">
          <a:extLst>
            <a:ext uri="{FF2B5EF4-FFF2-40B4-BE49-F238E27FC236}">
              <a16:creationId xmlns:a16="http://schemas.microsoft.com/office/drawing/2014/main" id="{6AFE386D-A968-DD04-C876-A1AF9C26D1AC}"/>
            </a:ext>
          </a:extLst>
        </xdr:cNvPr>
        <xdr:cNvSpPr/>
      </xdr:nvSpPr>
      <xdr:spPr>
        <a:xfrm>
          <a:off x="115453" y="208392"/>
          <a:ext cx="24028058" cy="926502"/>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5400" b="1"/>
            <a:t>Jumia Product Performance Dashboard</a:t>
          </a:r>
        </a:p>
      </xdr:txBody>
    </xdr:sp>
    <xdr:clientData/>
  </xdr:twoCellAnchor>
  <xdr:twoCellAnchor>
    <xdr:from>
      <xdr:col>1</xdr:col>
      <xdr:colOff>75196</xdr:colOff>
      <xdr:row>8</xdr:row>
      <xdr:rowOff>13100</xdr:rowOff>
    </xdr:from>
    <xdr:to>
      <xdr:col>6</xdr:col>
      <xdr:colOff>604602</xdr:colOff>
      <xdr:row>11</xdr:row>
      <xdr:rowOff>146927</xdr:rowOff>
    </xdr:to>
    <xdr:sp macro="" textlink="">
      <xdr:nvSpPr>
        <xdr:cNvPr id="30" name="Rectangle: Rounded Corners 29">
          <a:extLst>
            <a:ext uri="{FF2B5EF4-FFF2-40B4-BE49-F238E27FC236}">
              <a16:creationId xmlns:a16="http://schemas.microsoft.com/office/drawing/2014/main" id="{1C07B05A-6B00-83F0-FAA8-8DBE1297790A}"/>
            </a:ext>
          </a:extLst>
        </xdr:cNvPr>
        <xdr:cNvSpPr/>
      </xdr:nvSpPr>
      <xdr:spPr>
        <a:xfrm>
          <a:off x="683175" y="1526291"/>
          <a:ext cx="3569299" cy="701274"/>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Total Products = 112</a:t>
          </a:r>
        </a:p>
      </xdr:txBody>
    </xdr:sp>
    <xdr:clientData/>
  </xdr:twoCellAnchor>
  <xdr:twoCellAnchor>
    <xdr:from>
      <xdr:col>8</xdr:col>
      <xdr:colOff>40531</xdr:colOff>
      <xdr:row>8</xdr:row>
      <xdr:rowOff>108085</xdr:rowOff>
    </xdr:from>
    <xdr:to>
      <xdr:col>14</xdr:col>
      <xdr:colOff>486382</xdr:colOff>
      <xdr:row>12</xdr:row>
      <xdr:rowOff>13510</xdr:rowOff>
    </xdr:to>
    <xdr:sp macro="" textlink="">
      <xdr:nvSpPr>
        <xdr:cNvPr id="31" name="Rectangle: Rounded Corners 30">
          <a:extLst>
            <a:ext uri="{FF2B5EF4-FFF2-40B4-BE49-F238E27FC236}">
              <a16:creationId xmlns:a16="http://schemas.microsoft.com/office/drawing/2014/main" id="{7CF34161-74B5-401A-9066-D4F1516561A7}"/>
            </a:ext>
          </a:extLst>
        </xdr:cNvPr>
        <xdr:cNvSpPr/>
      </xdr:nvSpPr>
      <xdr:spPr>
        <a:xfrm>
          <a:off x="4904361" y="1621276"/>
          <a:ext cx="3742447" cy="662021"/>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Average</a:t>
          </a:r>
          <a:r>
            <a:rPr lang="en-US" sz="1800" b="1" baseline="0"/>
            <a:t> Price =  1186.89285</a:t>
          </a:r>
          <a:endParaRPr lang="en-US" sz="1800" b="1"/>
        </a:p>
      </xdr:txBody>
    </xdr:sp>
    <xdr:clientData/>
  </xdr:twoCellAnchor>
  <xdr:twoCellAnchor>
    <xdr:from>
      <xdr:col>15</xdr:col>
      <xdr:colOff>410325</xdr:colOff>
      <xdr:row>8</xdr:row>
      <xdr:rowOff>121596</xdr:rowOff>
    </xdr:from>
    <xdr:to>
      <xdr:col>21</xdr:col>
      <xdr:colOff>189148</xdr:colOff>
      <xdr:row>12</xdr:row>
      <xdr:rowOff>52073</xdr:rowOff>
    </xdr:to>
    <xdr:sp macro="" textlink="">
      <xdr:nvSpPr>
        <xdr:cNvPr id="33" name="Rectangle: Rounded Corners 32">
          <a:extLst>
            <a:ext uri="{FF2B5EF4-FFF2-40B4-BE49-F238E27FC236}">
              <a16:creationId xmlns:a16="http://schemas.microsoft.com/office/drawing/2014/main" id="{500EF6F4-7F03-4050-B0EC-C99EB5238C98}"/>
            </a:ext>
          </a:extLst>
        </xdr:cNvPr>
        <xdr:cNvSpPr/>
      </xdr:nvSpPr>
      <xdr:spPr>
        <a:xfrm>
          <a:off x="9178729" y="1634787"/>
          <a:ext cx="3426696" cy="687073"/>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Average</a:t>
          </a:r>
          <a:r>
            <a:rPr lang="en-US" sz="1800" b="1" baseline="0"/>
            <a:t> Discount =0.365089286</a:t>
          </a:r>
          <a:endParaRPr lang="en-US" sz="1800" b="1"/>
        </a:p>
      </xdr:txBody>
    </xdr:sp>
    <xdr:clientData/>
  </xdr:twoCellAnchor>
  <xdr:twoCellAnchor>
    <xdr:from>
      <xdr:col>22</xdr:col>
      <xdr:colOff>256702</xdr:colOff>
      <xdr:row>8</xdr:row>
      <xdr:rowOff>135107</xdr:rowOff>
    </xdr:from>
    <xdr:to>
      <xdr:col>27</xdr:col>
      <xdr:colOff>542396</xdr:colOff>
      <xdr:row>12</xdr:row>
      <xdr:rowOff>64176</xdr:rowOff>
    </xdr:to>
    <xdr:sp macro="" textlink="">
      <xdr:nvSpPr>
        <xdr:cNvPr id="34" name="Rectangle: Rounded Corners 33">
          <a:extLst>
            <a:ext uri="{FF2B5EF4-FFF2-40B4-BE49-F238E27FC236}">
              <a16:creationId xmlns:a16="http://schemas.microsoft.com/office/drawing/2014/main" id="{360E7D16-990E-4782-B06E-CFFF135A53A4}"/>
            </a:ext>
          </a:extLst>
        </xdr:cNvPr>
        <xdr:cNvSpPr/>
      </xdr:nvSpPr>
      <xdr:spPr>
        <a:xfrm>
          <a:off x="13280957" y="1648298"/>
          <a:ext cx="3325588" cy="68566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Average Rating =3.889474</a:t>
          </a:r>
        </a:p>
      </xdr:txBody>
    </xdr:sp>
    <xdr:clientData/>
  </xdr:twoCellAnchor>
  <xdr:twoCellAnchor>
    <xdr:from>
      <xdr:col>28</xdr:col>
      <xdr:colOff>499895</xdr:colOff>
      <xdr:row>8</xdr:row>
      <xdr:rowOff>135109</xdr:rowOff>
    </xdr:from>
    <xdr:to>
      <xdr:col>33</xdr:col>
      <xdr:colOff>1</xdr:colOff>
      <xdr:row>12</xdr:row>
      <xdr:rowOff>27023</xdr:rowOff>
    </xdr:to>
    <xdr:sp macro="" textlink="">
      <xdr:nvSpPr>
        <xdr:cNvPr id="36" name="Rectangle: Rounded Corners 35">
          <a:extLst>
            <a:ext uri="{FF2B5EF4-FFF2-40B4-BE49-F238E27FC236}">
              <a16:creationId xmlns:a16="http://schemas.microsoft.com/office/drawing/2014/main" id="{2C577074-D081-4E0D-A015-F588E749EFD3}"/>
            </a:ext>
          </a:extLst>
        </xdr:cNvPr>
        <xdr:cNvSpPr/>
      </xdr:nvSpPr>
      <xdr:spPr>
        <a:xfrm>
          <a:off x="17172023" y="1648300"/>
          <a:ext cx="2539999" cy="648510"/>
        </a:xfrm>
        <a:prstGeom prst="roundRect">
          <a:avLst>
            <a:gd name="adj" fmla="val 27083"/>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Total</a:t>
          </a:r>
          <a:r>
            <a:rPr lang="en-US" sz="1800" b="1" baseline="0"/>
            <a:t> </a:t>
          </a:r>
          <a:r>
            <a:rPr lang="en-US" sz="1800" b="1"/>
            <a:t>Reviews =723</a:t>
          </a:r>
        </a:p>
      </xdr:txBody>
    </xdr:sp>
    <xdr:clientData/>
  </xdr:twoCellAnchor>
  <xdr:twoCellAnchor>
    <xdr:from>
      <xdr:col>0</xdr:col>
      <xdr:colOff>0</xdr:colOff>
      <xdr:row>22</xdr:row>
      <xdr:rowOff>19515</xdr:rowOff>
    </xdr:from>
    <xdr:to>
      <xdr:col>8</xdr:col>
      <xdr:colOff>289439</xdr:colOff>
      <xdr:row>42</xdr:row>
      <xdr:rowOff>135107</xdr:rowOff>
    </xdr:to>
    <xdr:graphicFrame macro="">
      <xdr:nvGraphicFramePr>
        <xdr:cNvPr id="53" name="Chart 52">
          <a:extLst>
            <a:ext uri="{FF2B5EF4-FFF2-40B4-BE49-F238E27FC236}">
              <a16:creationId xmlns:a16="http://schemas.microsoft.com/office/drawing/2014/main" id="{6CD9F1F9-A220-4F27-A408-456D680DC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21014</xdr:colOff>
      <xdr:row>22</xdr:row>
      <xdr:rowOff>27020</xdr:rowOff>
    </xdr:from>
    <xdr:to>
      <xdr:col>19</xdr:col>
      <xdr:colOff>94573</xdr:colOff>
      <xdr:row>42</xdr:row>
      <xdr:rowOff>121595</xdr:rowOff>
    </xdr:to>
    <xdr:graphicFrame macro="">
      <xdr:nvGraphicFramePr>
        <xdr:cNvPr id="55" name="Chart 54">
          <a:extLst>
            <a:ext uri="{FF2B5EF4-FFF2-40B4-BE49-F238E27FC236}">
              <a16:creationId xmlns:a16="http://schemas.microsoft.com/office/drawing/2014/main" id="{9D7BCDC4-3F15-437A-ABD6-9B4E65635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256702</xdr:colOff>
      <xdr:row>22</xdr:row>
      <xdr:rowOff>54042</xdr:rowOff>
    </xdr:from>
    <xdr:to>
      <xdr:col>33</xdr:col>
      <xdr:colOff>229682</xdr:colOff>
      <xdr:row>43</xdr:row>
      <xdr:rowOff>13511</xdr:rowOff>
    </xdr:to>
    <xdr:graphicFrame macro="">
      <xdr:nvGraphicFramePr>
        <xdr:cNvPr id="56" name="Chart 55">
          <a:extLst>
            <a:ext uri="{FF2B5EF4-FFF2-40B4-BE49-F238E27FC236}">
              <a16:creationId xmlns:a16="http://schemas.microsoft.com/office/drawing/2014/main" id="{4C654DEF-4ABD-4046-8B99-0F46946C4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44</xdr:row>
      <xdr:rowOff>105664</xdr:rowOff>
    </xdr:from>
    <xdr:to>
      <xdr:col>9</xdr:col>
      <xdr:colOff>133178</xdr:colOff>
      <xdr:row>67</xdr:row>
      <xdr:rowOff>81063</xdr:rowOff>
    </xdr:to>
    <xdr:graphicFrame macro="">
      <xdr:nvGraphicFramePr>
        <xdr:cNvPr id="57" name="Chart 56">
          <a:extLst>
            <a:ext uri="{FF2B5EF4-FFF2-40B4-BE49-F238E27FC236}">
              <a16:creationId xmlns:a16="http://schemas.microsoft.com/office/drawing/2014/main" id="{B599073C-5719-401E-9E6B-C8486A87E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125535</xdr:colOff>
      <xdr:row>44</xdr:row>
      <xdr:rowOff>88194</xdr:rowOff>
    </xdr:from>
    <xdr:to>
      <xdr:col>19</xdr:col>
      <xdr:colOff>13508</xdr:colOff>
      <xdr:row>67</xdr:row>
      <xdr:rowOff>108086</xdr:rowOff>
    </xdr:to>
    <xdr:graphicFrame macro="">
      <xdr:nvGraphicFramePr>
        <xdr:cNvPr id="58" name="Chart 57">
          <a:extLst>
            <a:ext uri="{FF2B5EF4-FFF2-40B4-BE49-F238E27FC236}">
              <a16:creationId xmlns:a16="http://schemas.microsoft.com/office/drawing/2014/main" id="{E8E2C221-93F1-4D41-AFE8-444D53115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121597</xdr:colOff>
      <xdr:row>44</xdr:row>
      <xdr:rowOff>54043</xdr:rowOff>
    </xdr:from>
    <xdr:to>
      <xdr:col>33</xdr:col>
      <xdr:colOff>243193</xdr:colOff>
      <xdr:row>67</xdr:row>
      <xdr:rowOff>47691</xdr:rowOff>
    </xdr:to>
    <xdr:graphicFrame macro="">
      <xdr:nvGraphicFramePr>
        <xdr:cNvPr id="60" name="Chart 59">
          <a:extLst>
            <a:ext uri="{FF2B5EF4-FFF2-40B4-BE49-F238E27FC236}">
              <a16:creationId xmlns:a16="http://schemas.microsoft.com/office/drawing/2014/main" id="{35EB86EC-48D1-42F5-954F-7DF63A2DA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202659</xdr:colOff>
      <xdr:row>69</xdr:row>
      <xdr:rowOff>135106</xdr:rowOff>
    </xdr:from>
    <xdr:to>
      <xdr:col>16</xdr:col>
      <xdr:colOff>283722</xdr:colOff>
      <xdr:row>96</xdr:row>
      <xdr:rowOff>4826</xdr:rowOff>
    </xdr:to>
    <xdr:graphicFrame macro="">
      <xdr:nvGraphicFramePr>
        <xdr:cNvPr id="61" name="Chart 60">
          <a:extLst>
            <a:ext uri="{FF2B5EF4-FFF2-40B4-BE49-F238E27FC236}">
              <a16:creationId xmlns:a16="http://schemas.microsoft.com/office/drawing/2014/main" id="{28DB0D7A-8795-4BD2-B8D5-2F2AF3903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445079</xdr:colOff>
      <xdr:row>68</xdr:row>
      <xdr:rowOff>47691</xdr:rowOff>
    </xdr:from>
    <xdr:to>
      <xdr:col>34</xdr:col>
      <xdr:colOff>67553</xdr:colOff>
      <xdr:row>95</xdr:row>
      <xdr:rowOff>13512</xdr:rowOff>
    </xdr:to>
    <xdr:graphicFrame macro="">
      <xdr:nvGraphicFramePr>
        <xdr:cNvPr id="63" name="Chart 62">
          <a:extLst>
            <a:ext uri="{FF2B5EF4-FFF2-40B4-BE49-F238E27FC236}">
              <a16:creationId xmlns:a16="http://schemas.microsoft.com/office/drawing/2014/main" id="{0635DB70-EDE9-49F1-9FA3-9DB7EF28D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34</xdr:col>
      <xdr:colOff>459361</xdr:colOff>
      <xdr:row>21</xdr:row>
      <xdr:rowOff>54043</xdr:rowOff>
    </xdr:from>
    <xdr:to>
      <xdr:col>40</xdr:col>
      <xdr:colOff>378298</xdr:colOff>
      <xdr:row>94</xdr:row>
      <xdr:rowOff>0</xdr:rowOff>
    </xdr:to>
    <xdr:sp macro="" textlink="">
      <xdr:nvSpPr>
        <xdr:cNvPr id="5120" name="Rectangle: Rounded Corners 5119">
          <a:extLst>
            <a:ext uri="{FF2B5EF4-FFF2-40B4-BE49-F238E27FC236}">
              <a16:creationId xmlns:a16="http://schemas.microsoft.com/office/drawing/2014/main" id="{8E1C6D5A-4BEA-8F00-5008-803BABBACEA3}"/>
            </a:ext>
          </a:extLst>
        </xdr:cNvPr>
        <xdr:cNvSpPr/>
      </xdr:nvSpPr>
      <xdr:spPr>
        <a:xfrm>
          <a:off x="20779361" y="4026171"/>
          <a:ext cx="3566809" cy="13753829"/>
        </a:xfrm>
        <a:prstGeom prst="roundRect">
          <a:avLst/>
        </a:prstGeom>
        <a:solidFill>
          <a:schemeClr val="tx1">
            <a:lumMod val="75000"/>
            <a:lumOff val="2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3200" b="1" u="sng">
              <a:solidFill>
                <a:schemeClr val="accent2"/>
              </a:solidFill>
            </a:rPr>
            <a:t>Recommendation</a:t>
          </a:r>
        </a:p>
        <a:p>
          <a:pPr algn="l"/>
          <a:r>
            <a:rPr lang="en-US" sz="3200" b="0">
              <a:solidFill>
                <a:schemeClr val="accent2"/>
              </a:solidFill>
            </a:rPr>
            <a:t>1.</a:t>
          </a:r>
          <a:r>
            <a:rPr lang="en-US" sz="3200" b="0" baseline="0">
              <a:solidFill>
                <a:schemeClr val="accent2"/>
              </a:solidFill>
            </a:rPr>
            <a:t> Prioritize high engagement Products</a:t>
          </a:r>
        </a:p>
        <a:p>
          <a:pPr algn="l"/>
          <a:r>
            <a:rPr lang="en-US" sz="3200" b="0" baseline="0">
              <a:solidFill>
                <a:schemeClr val="accent2"/>
              </a:solidFill>
            </a:rPr>
            <a:t>2.Review promotion strategies rather than relying on discounts alone.</a:t>
          </a:r>
        </a:p>
        <a:p>
          <a:pPr algn="l"/>
          <a:r>
            <a:rPr lang="en-US" sz="3200" b="0" baseline="0">
              <a:solidFill>
                <a:schemeClr val="accent2"/>
              </a:solidFill>
            </a:rPr>
            <a:t>3.Investigate low-rated Products before increasing promotion.</a:t>
          </a:r>
        </a:p>
        <a:p>
          <a:pPr algn="l"/>
          <a:r>
            <a:rPr lang="en-US" sz="3200" b="0" baseline="0">
              <a:solidFill>
                <a:schemeClr val="accent2"/>
              </a:solidFill>
            </a:rPr>
            <a:t>4.Use high rated products benchmarks.</a:t>
          </a:r>
        </a:p>
        <a:p>
          <a:pPr algn="l"/>
          <a:r>
            <a:rPr lang="en-US" sz="3200" b="0" baseline="0">
              <a:solidFill>
                <a:schemeClr val="accent2"/>
              </a:solidFill>
            </a:rPr>
            <a:t>5.Avoid using price or rating as a standalone predictor of engagement.</a:t>
          </a:r>
          <a:endParaRPr lang="en-US" sz="3200" b="0">
            <a:solidFill>
              <a:schemeClr val="accent2"/>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b" refreshedDate="46269.843904629626" createdVersion="8" refreshedVersion="8" minRefreshableVersion="3" recordCount="112" xr:uid="{2DBC31C5-CDBC-4767-9AA5-6788CECBD633}">
  <cacheSource type="worksheet">
    <worksheetSource name="tblProducts"/>
  </cacheSource>
  <cacheFields count="18">
    <cacheField name="Product" numFmtId="49">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Balloon Insert, Birthday Party Balloon Set, Pu Leath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64">
      <sharedItems containsSemiMixedTypes="0" containsString="0" containsNumber="1" containsInteger="1" minValue="38" maxValue="3750" count="103">
        <n v="950"/>
        <n v="527"/>
        <n v="2199"/>
        <n v="1580"/>
        <n v="1740"/>
        <n v="2999"/>
        <n v="2319"/>
        <n v="988"/>
        <n v="1274"/>
        <n v="1600"/>
        <n v="799"/>
        <n v="990"/>
        <n v="552"/>
        <n v="501"/>
        <n v="1680"/>
        <n v="332"/>
        <n v="195"/>
        <n v="2025"/>
        <n v="998"/>
        <n v="38"/>
        <n v="1860"/>
        <n v="880"/>
        <n v="1650"/>
        <n v="2048"/>
        <n v="420"/>
        <n v="2880"/>
        <n v="1350"/>
        <n v="1758"/>
        <n v="2200"/>
        <n v="185"/>
        <n v="980"/>
        <n v="1820"/>
        <n v="1940"/>
        <n v="1980"/>
        <n v="1620"/>
        <n v="171"/>
        <n v="389"/>
        <n v="1800"/>
        <n v="2750"/>
        <n v="475"/>
        <n v="238"/>
        <n v="2132"/>
        <n v="999"/>
        <n v="1190"/>
        <n v="671"/>
        <n v="1200"/>
        <n v="199"/>
        <n v="299"/>
        <n v="1660"/>
        <n v="1459"/>
        <n v="499"/>
        <n v="699"/>
        <n v="2799"/>
        <n v="399"/>
        <n v="2170"/>
        <n v="458"/>
        <n v="2115"/>
        <n v="445"/>
        <n v="325"/>
        <n v="1220"/>
        <n v="1000"/>
        <n v="3750"/>
        <n v="382"/>
        <n v="2300"/>
        <n v="345"/>
        <n v="509"/>
        <n v="968"/>
        <n v="1570"/>
        <n v="790"/>
        <n v="690"/>
        <n v="1732"/>
        <n v="230"/>
        <n v="1189"/>
        <n v="979"/>
        <n v="1460"/>
        <n v="1666"/>
        <n v="330"/>
        <n v="610"/>
        <n v="176"/>
        <n v="1466"/>
        <n v="274"/>
        <n v="657"/>
        <n v="1468"/>
        <n v="630"/>
        <n v="850"/>
        <n v="1300"/>
        <n v="105"/>
        <n v="899"/>
        <n v="1526"/>
        <n v="1462"/>
        <n v="248"/>
        <n v="3546"/>
        <n v="525"/>
        <n v="1080"/>
        <n v="3640"/>
        <n v="1420"/>
        <n v="1875"/>
        <n v="198"/>
        <n v="1150"/>
        <n v="1658"/>
        <n v="1768"/>
        <n v="450"/>
        <n v="169"/>
      </sharedItems>
    </cacheField>
    <cacheField name="Old  Price" numFmtId="164">
      <sharedItems containsSemiMixedTypes="0" containsString="0" containsNumber="1" containsInteger="1" minValue="80" maxValue="6143"/>
    </cacheField>
    <cacheField name="prices Check" numFmtId="49">
      <sharedItems/>
    </cacheField>
    <cacheField name="Price Category" numFmtId="2">
      <sharedItems count="3">
        <s v="Medium Price"/>
        <s v="High Price"/>
        <s v="Low Price"/>
      </sharedItems>
    </cacheField>
    <cacheField name="Discount Amount " numFmtId="165">
      <sharedItems containsSemiMixedTypes="0" containsString="0" containsNumber="1" containsInteger="1" minValue="24" maxValue="2585"/>
    </cacheField>
    <cacheField name="Discount" numFmtId="9">
      <sharedItems containsSemiMixedTypes="0" containsString="0" containsNumber="1" minValue="0.01" maxValue="0.61" count="45">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sharedItems>
    </cacheField>
    <cacheField name="Discount Check" numFmtId="49">
      <sharedItems/>
    </cacheField>
    <cacheField name="Discount Category" numFmtId="49">
      <sharedItems count="3">
        <s v="Medium Discount"/>
        <s v="High Discount"/>
        <s v="Low Discount"/>
      </sharedItems>
    </cacheField>
    <cacheField name="Review" numFmtId="1">
      <sharedItems containsString="0" containsBlank="1" containsNumber="1" containsInteger="1" minValue="1" maxValue="69" count="24">
        <n v="2"/>
        <n v="14"/>
        <n v="24"/>
        <n v="7"/>
        <n v="5"/>
        <n v="15"/>
        <n v="55"/>
        <n v="12"/>
        <n v="39"/>
        <n v="6"/>
        <n v="9"/>
        <n v="3"/>
        <n v="44"/>
        <n v="13"/>
        <m/>
        <n v="49"/>
        <n v="20"/>
        <n v="32"/>
        <n v="1"/>
        <n v="36"/>
        <n v="10"/>
        <n v="69"/>
        <n v="16"/>
        <n v="17"/>
      </sharedItems>
    </cacheField>
    <cacheField name="Review Engagement Flag" numFmtId="1">
      <sharedItems/>
    </cacheField>
    <cacheField name="Rating" numFmtId="166">
      <sharedItems containsString="0" containsBlank="1" containsNumber="1" minValue="2" maxValue="5" count="23">
        <n v="4.5"/>
        <n v="4.0999999999999996"/>
        <n v="4.5999999999999996"/>
        <n v="4.7"/>
        <n v="4.8"/>
        <n v="4"/>
        <n v="3.8"/>
        <n v="4.2"/>
        <n v="5"/>
        <n v="3.3"/>
        <m/>
        <n v="4.4000000000000004"/>
        <n v="4.3"/>
        <n v="2.5"/>
        <n v="3"/>
        <n v="2.1"/>
        <n v="2.8"/>
        <n v="2.7"/>
        <n v="2.9"/>
        <n v="2.2000000000000002"/>
        <n v="2.2999999999999998"/>
        <n v="2.6"/>
        <n v="2"/>
      </sharedItems>
    </cacheField>
    <cacheField name="Rating flag" numFmtId="0">
      <sharedItems/>
    </cacheField>
    <cacheField name="Rating Category" numFmtId="49">
      <sharedItems count="4">
        <s v="Average"/>
        <s v="Excellent"/>
        <s v="Missing"/>
        <s v="Poor"/>
      </sharedItems>
    </cacheField>
    <cacheField name="high discount and low rating flag" numFmtId="0">
      <sharedItems count="3">
        <s v="Doesn't meet Criteria"/>
        <s v="Missing Entry"/>
        <s v="High Discount + Low Rating"/>
      </sharedItems>
    </cacheField>
    <cacheField name="high discount and low Review engagement;" numFmtId="0">
      <sharedItems count="3">
        <s v="Doesn't meet Criteria"/>
        <s v="High Discount + Low Engagement"/>
        <s v="Missing Entry"/>
      </sharedItems>
    </cacheField>
    <cacheField name=" Many reviews and Average Rating" numFmtId="0">
      <sharedItems count="3">
        <s v="Doesn't meet Criteria"/>
        <s v="Many Reviews + Average Rating"/>
        <s v="Missing Entry"/>
      </sharedItems>
    </cacheField>
    <cacheField name="strong engagement and excellent rating." numFmtId="0">
      <sharedItems count="3">
        <s v="Doesn't meet criteria"/>
        <s v="Strong Engagement + Excellent Rating"/>
        <s v="Missing Entry"/>
      </sharedItems>
    </cacheField>
  </cacheFields>
  <extLst>
    <ext xmlns:x14="http://schemas.microsoft.com/office/spreadsheetml/2009/9/main" uri="{725AE2AE-9491-48be-B2B4-4EB974FC3084}">
      <x14:pivotCacheDefinition pivotCacheId="456863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x v="0"/>
    <n v="1525"/>
    <s v="OK"/>
    <x v="0"/>
    <n v="575"/>
    <x v="0"/>
    <s v="OK"/>
    <x v="0"/>
    <x v="0"/>
    <s v="Low Customer Engagement"/>
    <x v="0"/>
    <s v="OK"/>
    <x v="0"/>
    <x v="0"/>
    <x v="0"/>
    <x v="0"/>
    <x v="0"/>
  </r>
  <r>
    <x v="1"/>
    <x v="1"/>
    <n v="999"/>
    <s v="OK"/>
    <x v="0"/>
    <n v="472"/>
    <x v="1"/>
    <s v="OK"/>
    <x v="1"/>
    <x v="1"/>
    <s v="Low Customer Engagement"/>
    <x v="1"/>
    <s v="OK"/>
    <x v="0"/>
    <x v="0"/>
    <x v="1"/>
    <x v="0"/>
    <x v="0"/>
  </r>
  <r>
    <x v="2"/>
    <x v="2"/>
    <n v="2923"/>
    <s v="OK"/>
    <x v="1"/>
    <n v="724"/>
    <x v="2"/>
    <s v="OK"/>
    <x v="0"/>
    <x v="2"/>
    <s v="Strong  Customer Engagement"/>
    <x v="2"/>
    <s v="OK"/>
    <x v="1"/>
    <x v="0"/>
    <x v="0"/>
    <x v="0"/>
    <x v="1"/>
  </r>
  <r>
    <x v="3"/>
    <x v="3"/>
    <n v="2499"/>
    <s v="OK"/>
    <x v="0"/>
    <n v="919"/>
    <x v="3"/>
    <s v="OK"/>
    <x v="0"/>
    <x v="3"/>
    <s v="Low Customer Engagement"/>
    <x v="3"/>
    <s v="OK"/>
    <x v="1"/>
    <x v="0"/>
    <x v="0"/>
    <x v="0"/>
    <x v="0"/>
  </r>
  <r>
    <x v="4"/>
    <x v="4"/>
    <n v="2356"/>
    <s v="OK"/>
    <x v="1"/>
    <n v="616"/>
    <x v="4"/>
    <s v="OK"/>
    <x v="0"/>
    <x v="4"/>
    <s v="Low Customer Engagement"/>
    <x v="4"/>
    <s v="OK"/>
    <x v="1"/>
    <x v="0"/>
    <x v="0"/>
    <x v="0"/>
    <x v="0"/>
  </r>
  <r>
    <x v="5"/>
    <x v="5"/>
    <n v="3290"/>
    <s v="OK"/>
    <x v="1"/>
    <n v="291"/>
    <x v="5"/>
    <s v="OK"/>
    <x v="2"/>
    <x v="5"/>
    <s v="Strong  Customer Engagement"/>
    <x v="5"/>
    <s v="OK"/>
    <x v="0"/>
    <x v="0"/>
    <x v="0"/>
    <x v="1"/>
    <x v="0"/>
  </r>
  <r>
    <x v="6"/>
    <x v="6"/>
    <n v="3032"/>
    <s v="OK"/>
    <x v="1"/>
    <n v="713"/>
    <x v="6"/>
    <s v="OK"/>
    <x v="0"/>
    <x v="6"/>
    <s v="Strong  Customer Engagement"/>
    <x v="2"/>
    <s v="OK"/>
    <x v="1"/>
    <x v="0"/>
    <x v="0"/>
    <x v="0"/>
    <x v="1"/>
  </r>
  <r>
    <x v="7"/>
    <x v="7"/>
    <n v="1580"/>
    <s v="OK"/>
    <x v="0"/>
    <n v="592"/>
    <x v="3"/>
    <s v="OK"/>
    <x v="0"/>
    <x v="0"/>
    <s v="Low Customer Engagement"/>
    <x v="5"/>
    <s v="OK"/>
    <x v="0"/>
    <x v="0"/>
    <x v="0"/>
    <x v="0"/>
    <x v="0"/>
  </r>
  <r>
    <x v="8"/>
    <x v="8"/>
    <n v="2800"/>
    <s v="OK"/>
    <x v="0"/>
    <n v="1526"/>
    <x v="7"/>
    <s v="OK"/>
    <x v="1"/>
    <x v="4"/>
    <s v="Low Customer Engagement"/>
    <x v="4"/>
    <s v="OK"/>
    <x v="1"/>
    <x v="0"/>
    <x v="1"/>
    <x v="0"/>
    <x v="0"/>
  </r>
  <r>
    <x v="9"/>
    <x v="9"/>
    <n v="2929"/>
    <s v="OK"/>
    <x v="0"/>
    <n v="1329"/>
    <x v="8"/>
    <s v="OK"/>
    <x v="1"/>
    <x v="4"/>
    <s v="Low Customer Engagement"/>
    <x v="6"/>
    <s v="OK"/>
    <x v="0"/>
    <x v="0"/>
    <x v="1"/>
    <x v="0"/>
    <x v="0"/>
  </r>
  <r>
    <x v="10"/>
    <x v="10"/>
    <n v="999"/>
    <s v="OK"/>
    <x v="0"/>
    <n v="200"/>
    <x v="9"/>
    <s v="OK"/>
    <x v="0"/>
    <x v="7"/>
    <s v="Low Customer Engagement"/>
    <x v="1"/>
    <s v="OK"/>
    <x v="0"/>
    <x v="0"/>
    <x v="0"/>
    <x v="0"/>
    <x v="0"/>
  </r>
  <r>
    <x v="11"/>
    <x v="11"/>
    <n v="1500"/>
    <s v="OK"/>
    <x v="0"/>
    <n v="510"/>
    <x v="10"/>
    <s v="OK"/>
    <x v="0"/>
    <x v="8"/>
    <s v="Strong  Customer Engagement"/>
    <x v="3"/>
    <s v="OK"/>
    <x v="1"/>
    <x v="0"/>
    <x v="0"/>
    <x v="0"/>
    <x v="1"/>
  </r>
  <r>
    <x v="12"/>
    <x v="12"/>
    <n v="1035"/>
    <s v="OK"/>
    <x v="0"/>
    <n v="483"/>
    <x v="1"/>
    <s v="OK"/>
    <x v="1"/>
    <x v="7"/>
    <s v="Low Customer Engagement"/>
    <x v="4"/>
    <s v="OK"/>
    <x v="1"/>
    <x v="0"/>
    <x v="1"/>
    <x v="0"/>
    <x v="0"/>
  </r>
  <r>
    <x v="13"/>
    <x v="13"/>
    <n v="860"/>
    <s v="OK"/>
    <x v="0"/>
    <n v="359"/>
    <x v="11"/>
    <s v="OK"/>
    <x v="1"/>
    <x v="9"/>
    <s v="Low Customer Engagement"/>
    <x v="0"/>
    <s v="OK"/>
    <x v="0"/>
    <x v="0"/>
    <x v="1"/>
    <x v="0"/>
    <x v="0"/>
  </r>
  <r>
    <x v="14"/>
    <x v="14"/>
    <n v="2499"/>
    <s v="OK"/>
    <x v="1"/>
    <n v="819"/>
    <x v="12"/>
    <s v="OK"/>
    <x v="0"/>
    <x v="10"/>
    <s v="Low Customer Engagement"/>
    <x v="7"/>
    <s v="OK"/>
    <x v="0"/>
    <x v="0"/>
    <x v="0"/>
    <x v="0"/>
    <x v="0"/>
  </r>
  <r>
    <x v="15"/>
    <x v="15"/>
    <n v="684"/>
    <s v="OK"/>
    <x v="2"/>
    <n v="352"/>
    <x v="13"/>
    <s v="OK"/>
    <x v="1"/>
    <x v="0"/>
    <s v="Low Customer Engagement"/>
    <x v="8"/>
    <s v="OK"/>
    <x v="1"/>
    <x v="0"/>
    <x v="1"/>
    <x v="0"/>
    <x v="0"/>
  </r>
  <r>
    <x v="16"/>
    <x v="16"/>
    <n v="360"/>
    <s v="OK"/>
    <x v="2"/>
    <n v="165"/>
    <x v="14"/>
    <s v="OK"/>
    <x v="1"/>
    <x v="0"/>
    <s v="Low Customer Engagement"/>
    <x v="8"/>
    <s v="OK"/>
    <x v="1"/>
    <x v="0"/>
    <x v="1"/>
    <x v="0"/>
    <x v="0"/>
  </r>
  <r>
    <x v="17"/>
    <x v="17"/>
    <n v="3971"/>
    <s v="OK"/>
    <x v="1"/>
    <n v="1946"/>
    <x v="15"/>
    <s v="OK"/>
    <x v="1"/>
    <x v="11"/>
    <s v="Low Customer Engagement"/>
    <x v="8"/>
    <s v="OK"/>
    <x v="1"/>
    <x v="0"/>
    <x v="1"/>
    <x v="0"/>
    <x v="0"/>
  </r>
  <r>
    <x v="18"/>
    <x v="5"/>
    <n v="3699"/>
    <s v="OK"/>
    <x v="1"/>
    <n v="700"/>
    <x v="16"/>
    <s v="OK"/>
    <x v="2"/>
    <x v="4"/>
    <s v="Low Customer Engagement"/>
    <x v="2"/>
    <s v="OK"/>
    <x v="1"/>
    <x v="0"/>
    <x v="0"/>
    <x v="0"/>
    <x v="0"/>
  </r>
  <r>
    <x v="19"/>
    <x v="18"/>
    <n v="1966"/>
    <s v="OK"/>
    <x v="0"/>
    <n v="968"/>
    <x v="15"/>
    <s v="OK"/>
    <x v="1"/>
    <x v="12"/>
    <s v="Strong  Customer Engagement"/>
    <x v="2"/>
    <s v="OK"/>
    <x v="1"/>
    <x v="0"/>
    <x v="0"/>
    <x v="0"/>
    <x v="1"/>
  </r>
  <r>
    <x v="20"/>
    <x v="19"/>
    <n v="80"/>
    <s v="OK"/>
    <x v="2"/>
    <n v="42"/>
    <x v="17"/>
    <s v="OK"/>
    <x v="1"/>
    <x v="13"/>
    <s v="Low Customer Engagement"/>
    <x v="9"/>
    <s v="OK"/>
    <x v="0"/>
    <x v="0"/>
    <x v="1"/>
    <x v="0"/>
    <x v="0"/>
  </r>
  <r>
    <x v="21"/>
    <x v="20"/>
    <n v="3220"/>
    <s v="OK"/>
    <x v="1"/>
    <n v="1360"/>
    <x v="11"/>
    <s v="OK"/>
    <x v="1"/>
    <x v="14"/>
    <s v="Missing Entry"/>
    <x v="10"/>
    <s v="Missing Entry"/>
    <x v="2"/>
    <x v="1"/>
    <x v="2"/>
    <x v="2"/>
    <x v="2"/>
  </r>
  <r>
    <x v="22"/>
    <x v="21"/>
    <n v="1350"/>
    <s v="OK"/>
    <x v="0"/>
    <n v="470"/>
    <x v="18"/>
    <s v="OK"/>
    <x v="0"/>
    <x v="9"/>
    <s v="Low Customer Engagement"/>
    <x v="5"/>
    <s v="OK"/>
    <x v="0"/>
    <x v="0"/>
    <x v="0"/>
    <x v="0"/>
    <x v="0"/>
  </r>
  <r>
    <x v="23"/>
    <x v="22"/>
    <n v="2150"/>
    <s v="OK"/>
    <x v="0"/>
    <n v="500"/>
    <x v="19"/>
    <s v="OK"/>
    <x v="0"/>
    <x v="1"/>
    <s v="Low Customer Engagement"/>
    <x v="11"/>
    <s v="OK"/>
    <x v="0"/>
    <x v="0"/>
    <x v="0"/>
    <x v="0"/>
    <x v="0"/>
  </r>
  <r>
    <x v="24"/>
    <x v="23"/>
    <n v="4500"/>
    <s v="OK"/>
    <x v="1"/>
    <n v="2452"/>
    <x v="20"/>
    <s v="OK"/>
    <x v="1"/>
    <x v="3"/>
    <s v="Low Customer Engagement"/>
    <x v="12"/>
    <s v="OK"/>
    <x v="0"/>
    <x v="0"/>
    <x v="1"/>
    <x v="0"/>
    <x v="0"/>
  </r>
  <r>
    <x v="25"/>
    <x v="24"/>
    <n v="647"/>
    <s v="OK"/>
    <x v="2"/>
    <n v="227"/>
    <x v="18"/>
    <s v="OK"/>
    <x v="0"/>
    <x v="15"/>
    <s v="Strong  Customer Engagement"/>
    <x v="2"/>
    <s v="OK"/>
    <x v="1"/>
    <x v="0"/>
    <x v="0"/>
    <x v="0"/>
    <x v="1"/>
  </r>
  <r>
    <x v="26"/>
    <x v="25"/>
    <n v="3520"/>
    <s v="OK"/>
    <x v="1"/>
    <n v="640"/>
    <x v="21"/>
    <s v="OK"/>
    <x v="2"/>
    <x v="7"/>
    <s v="Low Customer Engagement"/>
    <x v="6"/>
    <s v="OK"/>
    <x v="0"/>
    <x v="0"/>
    <x v="0"/>
    <x v="0"/>
    <x v="0"/>
  </r>
  <r>
    <x v="27"/>
    <x v="26"/>
    <n v="1990"/>
    <s v="OK"/>
    <x v="0"/>
    <n v="640"/>
    <x v="22"/>
    <s v="OK"/>
    <x v="0"/>
    <x v="13"/>
    <s v="Low Customer Engagement"/>
    <x v="6"/>
    <s v="OK"/>
    <x v="0"/>
    <x v="0"/>
    <x v="0"/>
    <x v="0"/>
    <x v="0"/>
  </r>
  <r>
    <x v="28"/>
    <x v="27"/>
    <n v="2499"/>
    <s v="OK"/>
    <x v="1"/>
    <n v="741"/>
    <x v="23"/>
    <s v="OK"/>
    <x v="0"/>
    <x v="16"/>
    <s v="Strong  Customer Engagement"/>
    <x v="1"/>
    <s v="OK"/>
    <x v="0"/>
    <x v="0"/>
    <x v="0"/>
    <x v="1"/>
    <x v="0"/>
  </r>
  <r>
    <x v="29"/>
    <x v="28"/>
    <n v="4080"/>
    <s v="OK"/>
    <x v="1"/>
    <n v="1880"/>
    <x v="14"/>
    <s v="OK"/>
    <x v="1"/>
    <x v="14"/>
    <s v="Missing Entry"/>
    <x v="10"/>
    <s v="Missing Entry"/>
    <x v="2"/>
    <x v="1"/>
    <x v="2"/>
    <x v="2"/>
    <x v="2"/>
  </r>
  <r>
    <x v="30"/>
    <x v="29"/>
    <n v="382"/>
    <s v="OK"/>
    <x v="2"/>
    <n v="197"/>
    <x v="24"/>
    <s v="OK"/>
    <x v="1"/>
    <x v="10"/>
    <s v="Low Customer Engagement"/>
    <x v="12"/>
    <s v="OK"/>
    <x v="0"/>
    <x v="0"/>
    <x v="1"/>
    <x v="0"/>
    <x v="0"/>
  </r>
  <r>
    <x v="31"/>
    <x v="30"/>
    <n v="1490"/>
    <s v="OK"/>
    <x v="0"/>
    <n v="510"/>
    <x v="10"/>
    <s v="OK"/>
    <x v="0"/>
    <x v="7"/>
    <s v="Low Customer Engagement"/>
    <x v="3"/>
    <s v="OK"/>
    <x v="1"/>
    <x v="0"/>
    <x v="0"/>
    <x v="0"/>
    <x v="0"/>
  </r>
  <r>
    <x v="32"/>
    <x v="31"/>
    <n v="3490"/>
    <s v="OK"/>
    <x v="1"/>
    <n v="1670"/>
    <x v="25"/>
    <s v="OK"/>
    <x v="1"/>
    <x v="10"/>
    <s v="Low Customer Engagement"/>
    <x v="12"/>
    <s v="OK"/>
    <x v="0"/>
    <x v="0"/>
    <x v="1"/>
    <x v="0"/>
    <x v="0"/>
  </r>
  <r>
    <x v="33"/>
    <x v="32"/>
    <n v="2650"/>
    <s v="OK"/>
    <x v="1"/>
    <n v="710"/>
    <x v="26"/>
    <s v="OK"/>
    <x v="0"/>
    <x v="16"/>
    <s v="Strong  Customer Engagement"/>
    <x v="3"/>
    <s v="OK"/>
    <x v="1"/>
    <x v="0"/>
    <x v="0"/>
    <x v="0"/>
    <x v="1"/>
  </r>
  <r>
    <x v="34"/>
    <x v="33"/>
    <n v="2699"/>
    <s v="OK"/>
    <x v="1"/>
    <n v="719"/>
    <x v="26"/>
    <s v="OK"/>
    <x v="0"/>
    <x v="17"/>
    <s v="Strong  Customer Engagement"/>
    <x v="0"/>
    <s v="OK"/>
    <x v="0"/>
    <x v="0"/>
    <x v="0"/>
    <x v="1"/>
    <x v="0"/>
  </r>
  <r>
    <x v="35"/>
    <x v="34"/>
    <n v="2690"/>
    <s v="OK"/>
    <x v="0"/>
    <n v="1070"/>
    <x v="27"/>
    <s v="OK"/>
    <x v="0"/>
    <x v="18"/>
    <s v="Low Customer Engagement"/>
    <x v="8"/>
    <s v="OK"/>
    <x v="1"/>
    <x v="0"/>
    <x v="1"/>
    <x v="0"/>
    <x v="0"/>
  </r>
  <r>
    <x v="36"/>
    <x v="35"/>
    <n v="360"/>
    <s v="OK"/>
    <x v="2"/>
    <n v="189"/>
    <x v="17"/>
    <s v="OK"/>
    <x v="1"/>
    <x v="0"/>
    <s v="Low Customer Engagement"/>
    <x v="8"/>
    <s v="OK"/>
    <x v="1"/>
    <x v="0"/>
    <x v="1"/>
    <x v="0"/>
    <x v="0"/>
  </r>
  <r>
    <x v="37"/>
    <x v="36"/>
    <n v="656"/>
    <s v="OK"/>
    <x v="2"/>
    <n v="267"/>
    <x v="28"/>
    <s v="OK"/>
    <x v="1"/>
    <x v="19"/>
    <s v="Strong  Customer Engagement"/>
    <x v="12"/>
    <s v="OK"/>
    <x v="0"/>
    <x v="0"/>
    <x v="0"/>
    <x v="1"/>
    <x v="0"/>
  </r>
  <r>
    <x v="38"/>
    <x v="37"/>
    <n v="2700"/>
    <s v="OK"/>
    <x v="1"/>
    <n v="900"/>
    <x v="0"/>
    <s v="OK"/>
    <x v="0"/>
    <x v="0"/>
    <s v="Low Customer Engagement"/>
    <x v="0"/>
    <s v="OK"/>
    <x v="0"/>
    <x v="0"/>
    <x v="0"/>
    <x v="0"/>
    <x v="0"/>
  </r>
  <r>
    <x v="39"/>
    <x v="38"/>
    <n v="4471"/>
    <s v="OK"/>
    <x v="1"/>
    <n v="1721"/>
    <x v="0"/>
    <s v="OK"/>
    <x v="0"/>
    <x v="14"/>
    <s v="Missing Entry"/>
    <x v="10"/>
    <s v="Missing Entry"/>
    <x v="2"/>
    <x v="1"/>
    <x v="2"/>
    <x v="2"/>
    <x v="2"/>
  </r>
  <r>
    <x v="40"/>
    <x v="39"/>
    <n v="931"/>
    <s v="OK"/>
    <x v="2"/>
    <n v="456"/>
    <x v="15"/>
    <s v="OK"/>
    <x v="1"/>
    <x v="14"/>
    <s v="Missing Entry"/>
    <x v="10"/>
    <s v="Missing Entry"/>
    <x v="2"/>
    <x v="1"/>
    <x v="2"/>
    <x v="2"/>
    <x v="2"/>
  </r>
  <r>
    <x v="41"/>
    <x v="40"/>
    <n v="476"/>
    <s v="OK"/>
    <x v="2"/>
    <n v="238"/>
    <x v="29"/>
    <s v="OK"/>
    <x v="1"/>
    <x v="14"/>
    <s v="Missing Entry"/>
    <x v="10"/>
    <s v="Missing Entry"/>
    <x v="2"/>
    <x v="1"/>
    <x v="2"/>
    <x v="2"/>
    <x v="2"/>
  </r>
  <r>
    <x v="42"/>
    <x v="41"/>
    <n v="2169"/>
    <s v="OK"/>
    <x v="1"/>
    <n v="37"/>
    <x v="11"/>
    <s v="OK"/>
    <x v="1"/>
    <x v="14"/>
    <s v="Missing Entry"/>
    <x v="10"/>
    <s v="Missing Entry"/>
    <x v="2"/>
    <x v="1"/>
    <x v="2"/>
    <x v="2"/>
    <x v="2"/>
  </r>
  <r>
    <x v="43"/>
    <x v="42"/>
    <n v="2000"/>
    <s v="OK"/>
    <x v="0"/>
    <n v="1001"/>
    <x v="11"/>
    <s v="OK"/>
    <x v="1"/>
    <x v="14"/>
    <s v="Missing Entry"/>
    <x v="10"/>
    <s v="Missing Entry"/>
    <x v="2"/>
    <x v="1"/>
    <x v="2"/>
    <x v="2"/>
    <x v="2"/>
  </r>
  <r>
    <x v="44"/>
    <x v="43"/>
    <n v="1785"/>
    <s v="OK"/>
    <x v="0"/>
    <n v="595"/>
    <x v="30"/>
    <s v="OK"/>
    <x v="2"/>
    <x v="14"/>
    <s v="Missing Entry"/>
    <x v="10"/>
    <s v="Missing Entry"/>
    <x v="2"/>
    <x v="1"/>
    <x v="2"/>
    <x v="2"/>
    <x v="2"/>
  </r>
  <r>
    <x v="45"/>
    <x v="44"/>
    <n v="1316"/>
    <s v="OK"/>
    <x v="0"/>
    <n v="645"/>
    <x v="29"/>
    <s v="OK"/>
    <x v="1"/>
    <x v="14"/>
    <s v="Missing Entry"/>
    <x v="10"/>
    <s v="Missing Entry"/>
    <x v="2"/>
    <x v="1"/>
    <x v="2"/>
    <x v="2"/>
    <x v="2"/>
  </r>
  <r>
    <x v="46"/>
    <x v="45"/>
    <n v="1950"/>
    <s v="OK"/>
    <x v="0"/>
    <n v="750"/>
    <x v="12"/>
    <s v="OK"/>
    <x v="0"/>
    <x v="14"/>
    <s v="Missing Entry"/>
    <x v="10"/>
    <s v="Missing Entry"/>
    <x v="2"/>
    <x v="1"/>
    <x v="2"/>
    <x v="2"/>
    <x v="2"/>
  </r>
  <r>
    <x v="47"/>
    <x v="46"/>
    <n v="504"/>
    <s v="OK"/>
    <x v="2"/>
    <n v="305"/>
    <x v="15"/>
    <s v="OK"/>
    <x v="1"/>
    <x v="14"/>
    <s v="Missing Entry"/>
    <x v="10"/>
    <s v="Missing Entry"/>
    <x v="2"/>
    <x v="1"/>
    <x v="2"/>
    <x v="2"/>
    <x v="2"/>
  </r>
  <r>
    <x v="48"/>
    <x v="47"/>
    <n v="600"/>
    <s v="OK"/>
    <x v="2"/>
    <n v="301"/>
    <x v="0"/>
    <s v="OK"/>
    <x v="0"/>
    <x v="14"/>
    <s v="Missing Entry"/>
    <x v="10"/>
    <s v="Missing Entry"/>
    <x v="2"/>
    <x v="1"/>
    <x v="2"/>
    <x v="2"/>
    <x v="2"/>
  </r>
  <r>
    <x v="49"/>
    <x v="48"/>
    <n v="1699"/>
    <s v="OK"/>
    <x v="0"/>
    <n v="39"/>
    <x v="31"/>
    <s v="OK"/>
    <x v="1"/>
    <x v="14"/>
    <s v="Missing Entry"/>
    <x v="10"/>
    <s v="Missing Entry"/>
    <x v="2"/>
    <x v="1"/>
    <x v="2"/>
    <x v="2"/>
    <x v="2"/>
  </r>
  <r>
    <x v="50"/>
    <x v="47"/>
    <n v="384"/>
    <s v="OK"/>
    <x v="2"/>
    <n v="85"/>
    <x v="29"/>
    <s v="OK"/>
    <x v="1"/>
    <x v="14"/>
    <s v="Missing Entry"/>
    <x v="10"/>
    <s v="Missing Entry"/>
    <x v="2"/>
    <x v="1"/>
    <x v="2"/>
    <x v="2"/>
    <x v="2"/>
  </r>
  <r>
    <x v="51"/>
    <x v="49"/>
    <n v="1499"/>
    <s v="OK"/>
    <x v="0"/>
    <n v="40"/>
    <x v="30"/>
    <s v="OK"/>
    <x v="2"/>
    <x v="14"/>
    <s v="Missing Entry"/>
    <x v="10"/>
    <s v="Missing Entry"/>
    <x v="2"/>
    <x v="1"/>
    <x v="2"/>
    <x v="2"/>
    <x v="2"/>
  </r>
  <r>
    <x v="52"/>
    <x v="10"/>
    <n v="1343"/>
    <s v="OK"/>
    <x v="0"/>
    <n v="544"/>
    <x v="32"/>
    <s v="OK"/>
    <x v="0"/>
    <x v="14"/>
    <s v="Missing Entry"/>
    <x v="10"/>
    <s v="Missing Entry"/>
    <x v="2"/>
    <x v="1"/>
    <x v="2"/>
    <x v="2"/>
    <x v="2"/>
  </r>
  <r>
    <x v="53"/>
    <x v="50"/>
    <n v="900"/>
    <s v="OK"/>
    <x v="0"/>
    <n v="401"/>
    <x v="33"/>
    <s v="OK"/>
    <x v="2"/>
    <x v="14"/>
    <s v="Missing Entry"/>
    <x v="10"/>
    <s v="Missing Entry"/>
    <x v="2"/>
    <x v="1"/>
    <x v="2"/>
    <x v="2"/>
    <x v="2"/>
  </r>
  <r>
    <x v="54"/>
    <x v="51"/>
    <n v="1343"/>
    <s v="OK"/>
    <x v="0"/>
    <n v="644"/>
    <x v="28"/>
    <s v="OK"/>
    <x v="1"/>
    <x v="14"/>
    <s v="Missing Entry"/>
    <x v="10"/>
    <s v="Missing Entry"/>
    <x v="2"/>
    <x v="1"/>
    <x v="2"/>
    <x v="2"/>
    <x v="2"/>
  </r>
  <r>
    <x v="55"/>
    <x v="10"/>
    <n v="1567"/>
    <s v="OK"/>
    <x v="0"/>
    <n v="768"/>
    <x v="8"/>
    <s v="OK"/>
    <x v="1"/>
    <x v="14"/>
    <s v="Missing Entry"/>
    <x v="10"/>
    <s v="Missing Entry"/>
    <x v="2"/>
    <x v="1"/>
    <x v="2"/>
    <x v="2"/>
    <x v="2"/>
  </r>
  <r>
    <x v="56"/>
    <x v="52"/>
    <n v="3810"/>
    <s v="OK"/>
    <x v="1"/>
    <n v="1011"/>
    <x v="25"/>
    <s v="OK"/>
    <x v="1"/>
    <x v="14"/>
    <s v="Missing Entry"/>
    <x v="10"/>
    <s v="Missing Entry"/>
    <x v="2"/>
    <x v="1"/>
    <x v="2"/>
    <x v="2"/>
    <x v="2"/>
  </r>
  <r>
    <x v="53"/>
    <x v="53"/>
    <n v="896"/>
    <s v="OK"/>
    <x v="2"/>
    <n v="497"/>
    <x v="15"/>
    <s v="OK"/>
    <x v="1"/>
    <x v="14"/>
    <s v="Missing Entry"/>
    <x v="10"/>
    <s v="Missing Entry"/>
    <x v="2"/>
    <x v="1"/>
    <x v="2"/>
    <x v="2"/>
    <x v="2"/>
  </r>
  <r>
    <x v="57"/>
    <x v="54"/>
    <n v="2500"/>
    <s v="OK"/>
    <x v="1"/>
    <n v="330"/>
    <x v="26"/>
    <s v="OK"/>
    <x v="0"/>
    <x v="9"/>
    <s v="Low Customer Engagement"/>
    <x v="13"/>
    <s v="OK"/>
    <x v="3"/>
    <x v="0"/>
    <x v="0"/>
    <x v="0"/>
    <x v="0"/>
  </r>
  <r>
    <x v="58"/>
    <x v="55"/>
    <n v="986"/>
    <s v="OK"/>
    <x v="2"/>
    <n v="528"/>
    <x v="7"/>
    <s v="OK"/>
    <x v="1"/>
    <x v="20"/>
    <s v="Low Customer Engagement"/>
    <x v="14"/>
    <s v="OK"/>
    <x v="0"/>
    <x v="0"/>
    <x v="1"/>
    <x v="0"/>
    <x v="0"/>
  </r>
  <r>
    <x v="59"/>
    <x v="56"/>
    <n v="4700"/>
    <s v="OK"/>
    <x v="1"/>
    <n v="2585"/>
    <x v="34"/>
    <s v="OK"/>
    <x v="2"/>
    <x v="13"/>
    <s v="Low Customer Engagement"/>
    <x v="15"/>
    <s v="OK"/>
    <x v="3"/>
    <x v="0"/>
    <x v="0"/>
    <x v="0"/>
    <x v="0"/>
  </r>
  <r>
    <x v="60"/>
    <x v="57"/>
    <n v="873"/>
    <s v="OK"/>
    <x v="2"/>
    <n v="428"/>
    <x v="20"/>
    <s v="OK"/>
    <x v="1"/>
    <x v="21"/>
    <s v="Strong  Customer Engagement"/>
    <x v="16"/>
    <s v="OK"/>
    <x v="3"/>
    <x v="2"/>
    <x v="0"/>
    <x v="0"/>
    <x v="0"/>
  </r>
  <r>
    <x v="61"/>
    <x v="58"/>
    <n v="680"/>
    <s v="OK"/>
    <x v="2"/>
    <n v="355"/>
    <x v="7"/>
    <s v="OK"/>
    <x v="1"/>
    <x v="5"/>
    <s v="Strong  Customer Engagement"/>
    <x v="17"/>
    <s v="OK"/>
    <x v="3"/>
    <x v="2"/>
    <x v="0"/>
    <x v="0"/>
    <x v="0"/>
  </r>
  <r>
    <x v="62"/>
    <x v="59"/>
    <n v="1555"/>
    <s v="OK"/>
    <x v="0"/>
    <n v="335"/>
    <x v="15"/>
    <s v="OK"/>
    <x v="1"/>
    <x v="22"/>
    <s v="Strong  Customer Engagement"/>
    <x v="18"/>
    <s v="OK"/>
    <x v="3"/>
    <x v="2"/>
    <x v="0"/>
    <x v="0"/>
    <x v="0"/>
  </r>
  <r>
    <x v="63"/>
    <x v="11"/>
    <n v="1814"/>
    <s v="OK"/>
    <x v="0"/>
    <n v="824"/>
    <x v="24"/>
    <s v="OK"/>
    <x v="1"/>
    <x v="9"/>
    <s v="Low Customer Engagement"/>
    <x v="19"/>
    <s v="OK"/>
    <x v="3"/>
    <x v="2"/>
    <x v="1"/>
    <x v="0"/>
    <x v="0"/>
  </r>
  <r>
    <x v="64"/>
    <x v="60"/>
    <n v="2000"/>
    <s v="OK"/>
    <x v="0"/>
    <n v="1000"/>
    <x v="32"/>
    <s v="OK"/>
    <x v="0"/>
    <x v="3"/>
    <s v="Low Customer Engagement"/>
    <x v="20"/>
    <s v="OK"/>
    <x v="3"/>
    <x v="0"/>
    <x v="0"/>
    <x v="0"/>
    <x v="0"/>
  </r>
  <r>
    <x v="65"/>
    <x v="61"/>
    <n v="6143"/>
    <s v="OK"/>
    <x v="1"/>
    <n v="2393"/>
    <x v="8"/>
    <s v="OK"/>
    <x v="1"/>
    <x v="4"/>
    <s v="Low Customer Engagement"/>
    <x v="14"/>
    <s v="OK"/>
    <x v="0"/>
    <x v="0"/>
    <x v="1"/>
    <x v="0"/>
    <x v="0"/>
  </r>
  <r>
    <x v="66"/>
    <x v="62"/>
    <n v="700"/>
    <s v="OK"/>
    <x v="2"/>
    <n v="318"/>
    <x v="29"/>
    <s v="OK"/>
    <x v="1"/>
    <x v="23"/>
    <s v="Strong  Customer Engagement"/>
    <x v="21"/>
    <s v="OK"/>
    <x v="3"/>
    <x v="2"/>
    <x v="0"/>
    <x v="0"/>
    <x v="0"/>
  </r>
  <r>
    <x v="67"/>
    <x v="63"/>
    <n v="3240"/>
    <s v="OK"/>
    <x v="1"/>
    <n v="940"/>
    <x v="35"/>
    <s v="OK"/>
    <x v="0"/>
    <x v="4"/>
    <s v="Low Customer Engagement"/>
    <x v="14"/>
    <s v="OK"/>
    <x v="0"/>
    <x v="0"/>
    <x v="0"/>
    <x v="0"/>
    <x v="0"/>
  </r>
  <r>
    <x v="68"/>
    <x v="64"/>
    <n v="602"/>
    <s v="OK"/>
    <x v="2"/>
    <n v="257"/>
    <x v="8"/>
    <s v="OK"/>
    <x v="1"/>
    <x v="9"/>
    <s v="Low Customer Engagement"/>
    <x v="20"/>
    <s v="OK"/>
    <x v="3"/>
    <x v="2"/>
    <x v="1"/>
    <x v="0"/>
    <x v="0"/>
  </r>
  <r>
    <x v="69"/>
    <x v="65"/>
    <n v="899"/>
    <s v="OK"/>
    <x v="0"/>
    <n v="390"/>
    <x v="36"/>
    <s v="OK"/>
    <x v="0"/>
    <x v="4"/>
    <s v="Low Customer Engagement"/>
    <x v="14"/>
    <s v="OK"/>
    <x v="0"/>
    <x v="0"/>
    <x v="0"/>
    <x v="0"/>
    <x v="0"/>
  </r>
  <r>
    <x v="70"/>
    <x v="66"/>
    <n v="1814"/>
    <s v="OK"/>
    <x v="0"/>
    <n v="846"/>
    <x v="37"/>
    <s v="OK"/>
    <x v="1"/>
    <x v="9"/>
    <s v="Low Customer Engagement"/>
    <x v="19"/>
    <s v="OK"/>
    <x v="3"/>
    <x v="2"/>
    <x v="1"/>
    <x v="0"/>
    <x v="0"/>
  </r>
  <r>
    <x v="71"/>
    <x v="67"/>
    <n v="2988"/>
    <s v="OK"/>
    <x v="0"/>
    <n v="1418"/>
    <x v="37"/>
    <s v="OK"/>
    <x v="1"/>
    <x v="3"/>
    <s v="Low Customer Engagement"/>
    <x v="15"/>
    <s v="OK"/>
    <x v="3"/>
    <x v="2"/>
    <x v="1"/>
    <x v="0"/>
    <x v="0"/>
  </r>
  <r>
    <x v="72"/>
    <x v="68"/>
    <n v="1485"/>
    <s v="OK"/>
    <x v="0"/>
    <n v="695"/>
    <x v="1"/>
    <s v="OK"/>
    <x v="1"/>
    <x v="14"/>
    <s v="Missing Entry"/>
    <x v="10"/>
    <s v="Missing Entry"/>
    <x v="2"/>
    <x v="1"/>
    <x v="2"/>
    <x v="2"/>
    <x v="2"/>
  </r>
  <r>
    <x v="73"/>
    <x v="69"/>
    <n v="1200"/>
    <s v="OK"/>
    <x v="0"/>
    <n v="510"/>
    <x v="1"/>
    <s v="OK"/>
    <x v="1"/>
    <x v="14"/>
    <s v="Missing Entry"/>
    <x v="10"/>
    <s v="Missing Entry"/>
    <x v="2"/>
    <x v="1"/>
    <x v="2"/>
    <x v="2"/>
    <x v="2"/>
  </r>
  <r>
    <x v="74"/>
    <x v="70"/>
    <n v="1799"/>
    <s v="OK"/>
    <x v="1"/>
    <n v="67"/>
    <x v="1"/>
    <s v="OK"/>
    <x v="1"/>
    <x v="14"/>
    <s v="Missing Entry"/>
    <x v="10"/>
    <s v="Missing Entry"/>
    <x v="2"/>
    <x v="1"/>
    <x v="2"/>
    <x v="2"/>
    <x v="2"/>
  </r>
  <r>
    <x v="75"/>
    <x v="71"/>
    <n v="450"/>
    <s v="OK"/>
    <x v="2"/>
    <n v="220"/>
    <x v="37"/>
    <s v="OK"/>
    <x v="1"/>
    <x v="14"/>
    <s v="Missing Entry"/>
    <x v="10"/>
    <s v="Missing Entry"/>
    <x v="2"/>
    <x v="1"/>
    <x v="2"/>
    <x v="2"/>
    <x v="2"/>
  </r>
  <r>
    <x v="76"/>
    <x v="72"/>
    <n v="2199"/>
    <s v="OK"/>
    <x v="0"/>
    <n v="1010"/>
    <x v="38"/>
    <s v="OK"/>
    <x v="2"/>
    <x v="18"/>
    <s v="Low Customer Engagement"/>
    <x v="14"/>
    <s v="OK"/>
    <x v="0"/>
    <x v="0"/>
    <x v="0"/>
    <x v="0"/>
    <x v="0"/>
  </r>
  <r>
    <x v="77"/>
    <x v="73"/>
    <n v="1920"/>
    <s v="OK"/>
    <x v="0"/>
    <n v="941"/>
    <x v="15"/>
    <s v="OK"/>
    <x v="1"/>
    <x v="18"/>
    <s v="Low Customer Engagement"/>
    <x v="8"/>
    <s v="OK"/>
    <x v="1"/>
    <x v="0"/>
    <x v="1"/>
    <x v="0"/>
    <x v="0"/>
  </r>
  <r>
    <x v="78"/>
    <x v="74"/>
    <n v="2290"/>
    <s v="OK"/>
    <x v="0"/>
    <n v="830"/>
    <x v="14"/>
    <s v="OK"/>
    <x v="1"/>
    <x v="14"/>
    <s v="Missing Entry"/>
    <x v="10"/>
    <s v="Missing Entry"/>
    <x v="2"/>
    <x v="1"/>
    <x v="2"/>
    <x v="2"/>
    <x v="2"/>
  </r>
  <r>
    <x v="79"/>
    <x v="75"/>
    <n v="1699"/>
    <s v="OK"/>
    <x v="0"/>
    <n v="33"/>
    <x v="15"/>
    <s v="OK"/>
    <x v="1"/>
    <x v="14"/>
    <s v="Missing Entry"/>
    <x v="10"/>
    <s v="Missing Entry"/>
    <x v="2"/>
    <x v="1"/>
    <x v="2"/>
    <x v="2"/>
    <x v="2"/>
  </r>
  <r>
    <x v="80"/>
    <x v="76"/>
    <n v="647"/>
    <s v="OK"/>
    <x v="2"/>
    <n v="317"/>
    <x v="39"/>
    <s v="OK"/>
    <x v="0"/>
    <x v="18"/>
    <s v="Low Customer Engagement"/>
    <x v="5"/>
    <s v="OK"/>
    <x v="0"/>
    <x v="0"/>
    <x v="0"/>
    <x v="0"/>
    <x v="0"/>
  </r>
  <r>
    <x v="81"/>
    <x v="77"/>
    <n v="1060"/>
    <s v="OK"/>
    <x v="0"/>
    <n v="450"/>
    <x v="30"/>
    <s v="OK"/>
    <x v="2"/>
    <x v="14"/>
    <s v="Missing Entry"/>
    <x v="10"/>
    <s v="Missing Entry"/>
    <x v="2"/>
    <x v="1"/>
    <x v="2"/>
    <x v="2"/>
    <x v="2"/>
  </r>
  <r>
    <x v="47"/>
    <x v="78"/>
    <n v="345"/>
    <s v="OK"/>
    <x v="2"/>
    <n v="169"/>
    <x v="15"/>
    <s v="OK"/>
    <x v="1"/>
    <x v="14"/>
    <s v="Missing Entry"/>
    <x v="10"/>
    <s v="Missing Entry"/>
    <x v="2"/>
    <x v="1"/>
    <x v="2"/>
    <x v="2"/>
    <x v="2"/>
  </r>
  <r>
    <x v="82"/>
    <x v="79"/>
    <n v="1699"/>
    <s v="OK"/>
    <x v="0"/>
    <n v="233"/>
    <x v="11"/>
    <s v="OK"/>
    <x v="1"/>
    <x v="14"/>
    <s v="Missing Entry"/>
    <x v="10"/>
    <s v="Missing Entry"/>
    <x v="2"/>
    <x v="1"/>
    <x v="2"/>
    <x v="2"/>
    <x v="2"/>
  </r>
  <r>
    <x v="83"/>
    <x v="80"/>
    <n v="537"/>
    <s v="OK"/>
    <x v="2"/>
    <n v="263"/>
    <x v="15"/>
    <s v="OK"/>
    <x v="1"/>
    <x v="14"/>
    <s v="Missing Entry"/>
    <x v="10"/>
    <s v="Missing Entry"/>
    <x v="2"/>
    <x v="1"/>
    <x v="2"/>
    <x v="2"/>
    <x v="2"/>
  </r>
  <r>
    <x v="84"/>
    <x v="10"/>
    <n v="900"/>
    <s v="OK"/>
    <x v="0"/>
    <n v="101"/>
    <x v="40"/>
    <s v="OK"/>
    <x v="2"/>
    <x v="14"/>
    <s v="Missing Entry"/>
    <x v="10"/>
    <s v="Missing Entry"/>
    <x v="2"/>
    <x v="1"/>
    <x v="2"/>
    <x v="2"/>
    <x v="2"/>
  </r>
  <r>
    <x v="55"/>
    <x v="81"/>
    <n v="1288"/>
    <s v="OK"/>
    <x v="0"/>
    <n v="631"/>
    <x v="15"/>
    <s v="OK"/>
    <x v="1"/>
    <x v="14"/>
    <s v="Missing Entry"/>
    <x v="10"/>
    <s v="Missing Entry"/>
    <x v="2"/>
    <x v="1"/>
    <x v="2"/>
    <x v="2"/>
    <x v="2"/>
  </r>
  <r>
    <x v="85"/>
    <x v="82"/>
    <n v="1699"/>
    <s v="OK"/>
    <x v="0"/>
    <n v="231"/>
    <x v="41"/>
    <s v="OK"/>
    <x v="2"/>
    <x v="14"/>
    <s v="Missing Entry"/>
    <x v="10"/>
    <s v="Missing Entry"/>
    <x v="2"/>
    <x v="1"/>
    <x v="2"/>
    <x v="2"/>
    <x v="2"/>
  </r>
  <r>
    <x v="86"/>
    <x v="83"/>
    <n v="1100"/>
    <s v="OK"/>
    <x v="0"/>
    <n v="470"/>
    <x v="15"/>
    <s v="OK"/>
    <x v="1"/>
    <x v="14"/>
    <s v="Missing Entry"/>
    <x v="10"/>
    <s v="Missing Entry"/>
    <x v="2"/>
    <x v="1"/>
    <x v="2"/>
    <x v="2"/>
    <x v="2"/>
  </r>
  <r>
    <x v="87"/>
    <x v="84"/>
    <n v="1700"/>
    <s v="OK"/>
    <x v="0"/>
    <n v="850"/>
    <x v="40"/>
    <s v="OK"/>
    <x v="2"/>
    <x v="14"/>
    <s v="Missing Entry"/>
    <x v="10"/>
    <s v="Missing Entry"/>
    <x v="2"/>
    <x v="1"/>
    <x v="2"/>
    <x v="2"/>
    <x v="2"/>
  </r>
  <r>
    <x v="88"/>
    <x v="85"/>
    <n v="2500"/>
    <s v="OK"/>
    <x v="0"/>
    <n v="1200"/>
    <x v="37"/>
    <s v="OK"/>
    <x v="1"/>
    <x v="14"/>
    <s v="Missing Entry"/>
    <x v="10"/>
    <s v="Missing Entry"/>
    <x v="2"/>
    <x v="1"/>
    <x v="2"/>
    <x v="2"/>
    <x v="2"/>
  </r>
  <r>
    <x v="89"/>
    <x v="86"/>
    <n v="200"/>
    <s v="OK"/>
    <x v="2"/>
    <n v="95"/>
    <x v="29"/>
    <s v="OK"/>
    <x v="1"/>
    <x v="14"/>
    <s v="Missing Entry"/>
    <x v="10"/>
    <s v="Missing Entry"/>
    <x v="2"/>
    <x v="1"/>
    <x v="2"/>
    <x v="2"/>
    <x v="2"/>
  </r>
  <r>
    <x v="90"/>
    <x v="87"/>
    <n v="1699"/>
    <s v="OK"/>
    <x v="0"/>
    <n v="800"/>
    <x v="25"/>
    <s v="OK"/>
    <x v="1"/>
    <x v="14"/>
    <s v="Missing Entry"/>
    <x v="10"/>
    <s v="Missing Entry"/>
    <x v="2"/>
    <x v="1"/>
    <x v="2"/>
    <x v="2"/>
    <x v="2"/>
  </r>
  <r>
    <x v="91"/>
    <x v="45"/>
    <n v="2400"/>
    <s v="OK"/>
    <x v="0"/>
    <n v="1200"/>
    <x v="25"/>
    <s v="OK"/>
    <x v="1"/>
    <x v="14"/>
    <s v="Missing Entry"/>
    <x v="10"/>
    <s v="Missing Entry"/>
    <x v="2"/>
    <x v="1"/>
    <x v="2"/>
    <x v="2"/>
    <x v="2"/>
  </r>
  <r>
    <x v="92"/>
    <x v="88"/>
    <n v="1660"/>
    <s v="OK"/>
    <x v="0"/>
    <n v="134"/>
    <x v="1"/>
    <s v="OK"/>
    <x v="1"/>
    <x v="14"/>
    <s v="Missing Entry"/>
    <x v="10"/>
    <s v="Missing Entry"/>
    <x v="2"/>
    <x v="1"/>
    <x v="2"/>
    <x v="2"/>
    <x v="2"/>
  </r>
  <r>
    <x v="93"/>
    <x v="89"/>
    <n v="1499"/>
    <s v="OK"/>
    <x v="0"/>
    <n v="37"/>
    <x v="1"/>
    <s v="OK"/>
    <x v="1"/>
    <x v="14"/>
    <s v="Missing Entry"/>
    <x v="10"/>
    <s v="Missing Entry"/>
    <x v="2"/>
    <x v="1"/>
    <x v="2"/>
    <x v="2"/>
    <x v="2"/>
  </r>
  <r>
    <x v="94"/>
    <x v="90"/>
    <n v="486"/>
    <s v="OK"/>
    <x v="2"/>
    <n v="238"/>
    <x v="29"/>
    <s v="OK"/>
    <x v="1"/>
    <x v="14"/>
    <s v="Missing Entry"/>
    <x v="10"/>
    <s v="Missing Entry"/>
    <x v="2"/>
    <x v="1"/>
    <x v="2"/>
    <x v="2"/>
    <x v="2"/>
  </r>
  <r>
    <x v="95"/>
    <x v="91"/>
    <n v="3699"/>
    <s v="OK"/>
    <x v="1"/>
    <n v="153"/>
    <x v="42"/>
    <s v="OK"/>
    <x v="2"/>
    <x v="14"/>
    <s v="Missing Entry"/>
    <x v="10"/>
    <s v="Missing Entry"/>
    <x v="2"/>
    <x v="1"/>
    <x v="2"/>
    <x v="2"/>
    <x v="2"/>
  </r>
  <r>
    <x v="96"/>
    <x v="92"/>
    <n v="1029"/>
    <s v="OK"/>
    <x v="0"/>
    <n v="504"/>
    <x v="30"/>
    <s v="OK"/>
    <x v="2"/>
    <x v="14"/>
    <s v="Missing Entry"/>
    <x v="10"/>
    <s v="Missing Entry"/>
    <x v="2"/>
    <x v="1"/>
    <x v="2"/>
    <x v="2"/>
    <x v="2"/>
  </r>
  <r>
    <x v="97"/>
    <x v="93"/>
    <n v="1874"/>
    <s v="OK"/>
    <x v="0"/>
    <n v="794"/>
    <x v="15"/>
    <s v="OK"/>
    <x v="1"/>
    <x v="14"/>
    <s v="Missing Entry"/>
    <x v="10"/>
    <s v="Missing Entry"/>
    <x v="2"/>
    <x v="1"/>
    <x v="2"/>
    <x v="2"/>
    <x v="2"/>
  </r>
  <r>
    <x v="98"/>
    <x v="94"/>
    <n v="4588"/>
    <s v="OK"/>
    <x v="1"/>
    <n v="948"/>
    <x v="38"/>
    <s v="OK"/>
    <x v="2"/>
    <x v="18"/>
    <s v="Low Customer Engagement"/>
    <x v="8"/>
    <s v="OK"/>
    <x v="1"/>
    <x v="0"/>
    <x v="0"/>
    <x v="0"/>
    <x v="0"/>
  </r>
  <r>
    <x v="99"/>
    <x v="95"/>
    <n v="2420"/>
    <s v="OK"/>
    <x v="0"/>
    <n v="1000"/>
    <x v="15"/>
    <s v="OK"/>
    <x v="1"/>
    <x v="14"/>
    <s v="Missing Entry"/>
    <x v="10"/>
    <s v="Missing Entry"/>
    <x v="2"/>
    <x v="1"/>
    <x v="2"/>
    <x v="2"/>
    <x v="2"/>
  </r>
  <r>
    <x v="100"/>
    <x v="96"/>
    <n v="1899"/>
    <s v="OK"/>
    <x v="1"/>
    <n v="24"/>
    <x v="11"/>
    <s v="OK"/>
    <x v="1"/>
    <x v="14"/>
    <s v="Missing Entry"/>
    <x v="10"/>
    <s v="Missing Entry"/>
    <x v="2"/>
    <x v="1"/>
    <x v="2"/>
    <x v="2"/>
    <x v="2"/>
  </r>
  <r>
    <x v="101"/>
    <x v="97"/>
    <n v="260"/>
    <s v="OK"/>
    <x v="2"/>
    <n v="62"/>
    <x v="43"/>
    <s v="OK"/>
    <x v="0"/>
    <x v="14"/>
    <s v="Missing Entry"/>
    <x v="10"/>
    <s v="Missing Entry"/>
    <x v="2"/>
    <x v="1"/>
    <x v="2"/>
    <x v="2"/>
    <x v="2"/>
  </r>
  <r>
    <x v="102"/>
    <x v="98"/>
    <n v="1737"/>
    <s v="OK"/>
    <x v="0"/>
    <n v="587"/>
    <x v="28"/>
    <s v="OK"/>
    <x v="1"/>
    <x v="14"/>
    <s v="Missing Entry"/>
    <x v="10"/>
    <s v="Missing Entry"/>
    <x v="2"/>
    <x v="1"/>
    <x v="2"/>
    <x v="2"/>
    <x v="2"/>
  </r>
  <r>
    <x v="103"/>
    <x v="43"/>
    <n v="1810"/>
    <s v="OK"/>
    <x v="0"/>
    <n v="620"/>
    <x v="44"/>
    <s v="OK"/>
    <x v="2"/>
    <x v="14"/>
    <s v="Missing Entry"/>
    <x v="10"/>
    <s v="Missing Entry"/>
    <x v="2"/>
    <x v="1"/>
    <x v="2"/>
    <x v="2"/>
    <x v="2"/>
  </r>
  <r>
    <x v="104"/>
    <x v="99"/>
    <n v="1699"/>
    <s v="OK"/>
    <x v="0"/>
    <n v="41"/>
    <x v="6"/>
    <s v="OK"/>
    <x v="0"/>
    <x v="14"/>
    <s v="Missing Entry"/>
    <x v="10"/>
    <s v="Missing Entry"/>
    <x v="2"/>
    <x v="1"/>
    <x v="2"/>
    <x v="2"/>
    <x v="2"/>
  </r>
  <r>
    <x v="105"/>
    <x v="100"/>
    <n v="1799"/>
    <s v="OK"/>
    <x v="1"/>
    <n v="31"/>
    <x v="10"/>
    <s v="OK"/>
    <x v="0"/>
    <x v="14"/>
    <s v="Missing Entry"/>
    <x v="10"/>
    <s v="Missing Entry"/>
    <x v="2"/>
    <x v="1"/>
    <x v="2"/>
    <x v="2"/>
    <x v="2"/>
  </r>
  <r>
    <x v="106"/>
    <x v="46"/>
    <n v="553"/>
    <s v="OK"/>
    <x v="2"/>
    <n v="354"/>
    <x v="10"/>
    <s v="OK"/>
    <x v="0"/>
    <x v="14"/>
    <s v="Missing Entry"/>
    <x v="10"/>
    <s v="Missing Entry"/>
    <x v="2"/>
    <x v="1"/>
    <x v="2"/>
    <x v="2"/>
    <x v="2"/>
  </r>
  <r>
    <x v="107"/>
    <x v="101"/>
    <n v="900"/>
    <s v="OK"/>
    <x v="2"/>
    <n v="450"/>
    <x v="30"/>
    <s v="OK"/>
    <x v="2"/>
    <x v="18"/>
    <s v="Low Customer Engagement"/>
    <x v="22"/>
    <s v="OK"/>
    <x v="3"/>
    <x v="0"/>
    <x v="0"/>
    <x v="0"/>
    <x v="0"/>
  </r>
  <r>
    <x v="108"/>
    <x v="102"/>
    <n v="320"/>
    <s v="OK"/>
    <x v="2"/>
    <n v="151"/>
    <x v="30"/>
    <s v="OK"/>
    <x v="2"/>
    <x v="14"/>
    <s v="Missing Entry"/>
    <x v="10"/>
    <s v="Missing Entry"/>
    <x v="2"/>
    <x v="1"/>
    <x v="2"/>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CC806F-0EE0-413A-9A05-B97325FD7DB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6:C168" firstHeaderRow="0" firstDataRow="1" firstDataCol="1" rowPageCount="1" colPageCount="1"/>
  <pivotFields count="18">
    <pivotField axis="axisRow" showAll="0">
      <items count="110">
        <item x="38"/>
        <item x="11"/>
        <item x="0"/>
        <item x="27"/>
        <item x="31"/>
        <item x="60"/>
        <item x="56"/>
        <item x="9"/>
        <item x="6"/>
        <item x="101"/>
        <item x="79"/>
        <item x="5"/>
        <item x="100"/>
        <item x="91"/>
        <item x="46"/>
        <item x="72"/>
        <item x="65"/>
        <item x="64"/>
        <item x="19"/>
        <item x="73"/>
        <item x="20"/>
        <item x="94"/>
        <item x="12"/>
        <item x="40"/>
        <item x="21"/>
        <item x="57"/>
        <item x="28"/>
        <item x="34"/>
        <item x="33"/>
        <item x="78"/>
        <item x="59"/>
        <item x="106"/>
        <item x="90"/>
        <item x="44"/>
        <item x="75"/>
        <item x="70"/>
        <item x="97"/>
        <item x="99"/>
        <item x="66"/>
        <item x="55"/>
        <item x="15"/>
        <item x="63"/>
        <item x="96"/>
        <item x="81"/>
        <item x="77"/>
        <item x="108"/>
        <item x="48"/>
        <item x="45"/>
        <item x="83"/>
        <item x="103"/>
        <item x="43"/>
        <item x="54"/>
        <item x="36"/>
        <item x="47"/>
        <item x="74"/>
        <item x="52"/>
        <item x="7"/>
        <item x="35"/>
        <item x="71"/>
        <item x="25"/>
        <item x="30"/>
        <item x="23"/>
        <item x="10"/>
        <item x="80"/>
        <item x="61"/>
        <item x="98"/>
        <item x="67"/>
        <item x="24"/>
        <item x="17"/>
        <item x="13"/>
        <item x="8"/>
        <item x="39"/>
        <item x="32"/>
        <item x="22"/>
        <item x="102"/>
        <item x="18"/>
        <item x="76"/>
        <item x="1"/>
        <item x="95"/>
        <item x="41"/>
        <item x="14"/>
        <item x="86"/>
        <item x="29"/>
        <item x="51"/>
        <item x="58"/>
        <item x="82"/>
        <item x="84"/>
        <item x="16"/>
        <item x="49"/>
        <item x="50"/>
        <item x="4"/>
        <item x="2"/>
        <item x="93"/>
        <item x="26"/>
        <item x="88"/>
        <item x="37"/>
        <item x="89"/>
        <item x="42"/>
        <item x="104"/>
        <item x="53"/>
        <item x="105"/>
        <item x="62"/>
        <item x="87"/>
        <item x="92"/>
        <item x="107"/>
        <item x="85"/>
        <item x="68"/>
        <item x="3"/>
        <item x="69"/>
        <item t="default"/>
      </items>
    </pivotField>
    <pivotField numFmtId="164" showAll="0"/>
    <pivotField numFmtId="164" showAll="0"/>
    <pivotField showAll="0"/>
    <pivotField showAll="0">
      <items count="4">
        <item x="1"/>
        <item x="2"/>
        <item x="0"/>
        <item t="default"/>
      </items>
    </pivotField>
    <pivotField numFmtId="165" showAll="0"/>
    <pivotField dataField="1" numFmtId="9" showAll="0"/>
    <pivotField showAll="0"/>
    <pivotField showAll="0">
      <items count="4">
        <item x="1"/>
        <item x="2"/>
        <item x="0"/>
        <item t="default"/>
      </items>
    </pivotField>
    <pivotField dataField="1" showAll="0"/>
    <pivotField showAll="0"/>
    <pivotField showAll="0"/>
    <pivotField showAll="0"/>
    <pivotField showAll="0">
      <items count="5">
        <item x="0"/>
        <item x="1"/>
        <item x="2"/>
        <item x="3"/>
        <item t="default"/>
      </items>
    </pivotField>
    <pivotField showAll="0"/>
    <pivotField axis="axisPage" multipleItemSelectionAllowed="1" showAll="0">
      <items count="4">
        <item h="1" x="0"/>
        <item x="1"/>
        <item h="1" x="2"/>
        <item t="default"/>
      </items>
    </pivotField>
    <pivotField showAll="0"/>
    <pivotField showAll="0"/>
  </pivotFields>
  <rowFields count="1">
    <field x="0"/>
  </rowFields>
  <rowItems count="22">
    <i>
      <x v="7"/>
    </i>
    <i>
      <x v="16"/>
    </i>
    <i>
      <x v="20"/>
    </i>
    <i>
      <x v="22"/>
    </i>
    <i>
      <x v="35"/>
    </i>
    <i>
      <x v="40"/>
    </i>
    <i>
      <x v="41"/>
    </i>
    <i>
      <x v="44"/>
    </i>
    <i>
      <x v="52"/>
    </i>
    <i>
      <x v="57"/>
    </i>
    <i>
      <x v="58"/>
    </i>
    <i>
      <x v="60"/>
    </i>
    <i>
      <x v="67"/>
    </i>
    <i>
      <x v="68"/>
    </i>
    <i>
      <x v="69"/>
    </i>
    <i>
      <x v="70"/>
    </i>
    <i>
      <x v="72"/>
    </i>
    <i>
      <x v="77"/>
    </i>
    <i>
      <x v="84"/>
    </i>
    <i>
      <x v="87"/>
    </i>
    <i>
      <x v="106"/>
    </i>
    <i t="grand">
      <x/>
    </i>
  </rowItems>
  <colFields count="1">
    <field x="-2"/>
  </colFields>
  <colItems count="2">
    <i>
      <x/>
    </i>
    <i i="1">
      <x v="1"/>
    </i>
  </colItems>
  <pageFields count="1">
    <pageField fld="15" hier="-1"/>
  </pageFields>
  <dataFields count="2">
    <dataField name="Average of Discount" fld="6" subtotal="average" baseField="0" baseItem="1" numFmtId="9"/>
    <dataField name="Sum of Review" fld="9"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DC4B6A-E249-4292-A005-22EE055971EF}"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7:B73" firstHeaderRow="1" firstDataRow="1" firstDataCol="1" rowPageCount="1" colPageCount="1"/>
  <pivotFields count="18">
    <pivotField axis="axisRow" showAll="0" measureFilter="1" sortType="ascending">
      <items count="110">
        <item x="38"/>
        <item x="11"/>
        <item x="0"/>
        <item x="27"/>
        <item x="31"/>
        <item x="60"/>
        <item x="56"/>
        <item x="9"/>
        <item x="6"/>
        <item x="101"/>
        <item x="79"/>
        <item x="5"/>
        <item x="100"/>
        <item x="91"/>
        <item x="46"/>
        <item x="72"/>
        <item x="65"/>
        <item x="64"/>
        <item x="19"/>
        <item x="73"/>
        <item x="20"/>
        <item x="94"/>
        <item x="12"/>
        <item x="40"/>
        <item x="21"/>
        <item x="57"/>
        <item x="28"/>
        <item x="34"/>
        <item x="33"/>
        <item x="78"/>
        <item x="59"/>
        <item x="106"/>
        <item x="90"/>
        <item x="44"/>
        <item x="75"/>
        <item x="70"/>
        <item x="97"/>
        <item x="99"/>
        <item x="66"/>
        <item x="55"/>
        <item x="15"/>
        <item x="63"/>
        <item x="96"/>
        <item x="81"/>
        <item x="77"/>
        <item x="108"/>
        <item x="48"/>
        <item x="45"/>
        <item x="83"/>
        <item x="103"/>
        <item x="43"/>
        <item x="54"/>
        <item x="36"/>
        <item x="47"/>
        <item x="74"/>
        <item x="52"/>
        <item x="7"/>
        <item x="35"/>
        <item x="71"/>
        <item x="25"/>
        <item x="30"/>
        <item x="23"/>
        <item x="10"/>
        <item x="80"/>
        <item x="61"/>
        <item x="98"/>
        <item x="67"/>
        <item x="24"/>
        <item x="17"/>
        <item x="13"/>
        <item x="8"/>
        <item x="39"/>
        <item x="32"/>
        <item x="22"/>
        <item x="102"/>
        <item x="18"/>
        <item x="76"/>
        <item x="1"/>
        <item x="95"/>
        <item x="41"/>
        <item x="14"/>
        <item x="86"/>
        <item x="29"/>
        <item x="51"/>
        <item x="58"/>
        <item x="82"/>
        <item x="84"/>
        <item x="16"/>
        <item x="49"/>
        <item x="50"/>
        <item x="4"/>
        <item x="2"/>
        <item x="93"/>
        <item x="26"/>
        <item x="88"/>
        <item x="37"/>
        <item x="89"/>
        <item x="42"/>
        <item x="104"/>
        <item x="53"/>
        <item x="105"/>
        <item x="62"/>
        <item x="87"/>
        <item x="92"/>
        <item x="107"/>
        <item x="85"/>
        <item x="68"/>
        <item x="3"/>
        <item x="69"/>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pivotField showAll="0">
      <items count="4">
        <item x="1"/>
        <item x="2"/>
        <item x="0"/>
        <item t="default"/>
      </items>
    </pivotField>
    <pivotField numFmtId="165" showAll="0"/>
    <pivotField numFmtId="9" showAll="0"/>
    <pivotField showAll="0"/>
    <pivotField showAll="0">
      <items count="4">
        <item x="1"/>
        <item x="2"/>
        <item x="0"/>
        <item t="default"/>
      </items>
    </pivotField>
    <pivotField axis="axisPage" multipleItemSelectionAllowed="1" showAll="0">
      <items count="25">
        <item x="18"/>
        <item x="0"/>
        <item x="11"/>
        <item x="4"/>
        <item x="9"/>
        <item x="3"/>
        <item x="10"/>
        <item x="20"/>
        <item x="7"/>
        <item x="13"/>
        <item x="1"/>
        <item x="5"/>
        <item x="22"/>
        <item x="23"/>
        <item x="16"/>
        <item x="2"/>
        <item x="17"/>
        <item x="19"/>
        <item x="8"/>
        <item x="12"/>
        <item x="15"/>
        <item x="6"/>
        <item x="21"/>
        <item h="1" x="14"/>
        <item t="default"/>
      </items>
    </pivotField>
    <pivotField showAll="0"/>
    <pivotField dataField="1" showAll="0"/>
    <pivotField showAll="0"/>
    <pivotField showAll="0">
      <items count="5">
        <item x="0"/>
        <item x="1"/>
        <item x="2"/>
        <item x="3"/>
        <item t="default"/>
      </items>
    </pivotField>
    <pivotField showAll="0"/>
    <pivotField showAll="0"/>
    <pivotField showAll="0"/>
    <pivotField showAll="0"/>
  </pivotFields>
  <rowFields count="1">
    <field x="0"/>
  </rowFields>
  <rowItems count="6">
    <i>
      <x v="104"/>
    </i>
    <i>
      <x v="30"/>
    </i>
    <i>
      <x v="58"/>
    </i>
    <i>
      <x v="41"/>
    </i>
    <i>
      <x v="35"/>
    </i>
    <i t="grand">
      <x/>
    </i>
  </rowItems>
  <colItems count="1">
    <i/>
  </colItems>
  <pageFields count="1">
    <pageField fld="9" hier="-1"/>
  </pageFields>
  <dataFields count="1">
    <dataField name="Average of Rating" fld="11" subtotal="average" baseField="0" baseItem="0"/>
  </dataField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215F8A-E7B4-4254-92EE-6891DF0A11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1:C140" firstHeaderRow="0" firstDataRow="1" firstDataCol="1" rowPageCount="1" colPageCount="1"/>
  <pivotFields count="18">
    <pivotField axis="axisRow" showAll="0">
      <items count="110">
        <item x="38"/>
        <item x="11"/>
        <item x="0"/>
        <item x="27"/>
        <item x="31"/>
        <item x="60"/>
        <item x="56"/>
        <item x="9"/>
        <item x="6"/>
        <item x="101"/>
        <item x="79"/>
        <item x="5"/>
        <item x="100"/>
        <item x="91"/>
        <item x="46"/>
        <item x="72"/>
        <item x="65"/>
        <item x="64"/>
        <item x="19"/>
        <item x="73"/>
        <item x="20"/>
        <item x="94"/>
        <item x="12"/>
        <item x="40"/>
        <item x="21"/>
        <item x="57"/>
        <item x="28"/>
        <item x="34"/>
        <item x="33"/>
        <item x="78"/>
        <item x="59"/>
        <item x="106"/>
        <item x="90"/>
        <item x="44"/>
        <item x="75"/>
        <item x="70"/>
        <item x="97"/>
        <item x="99"/>
        <item x="66"/>
        <item x="55"/>
        <item x="15"/>
        <item x="63"/>
        <item x="96"/>
        <item x="81"/>
        <item x="77"/>
        <item x="108"/>
        <item x="48"/>
        <item x="45"/>
        <item x="83"/>
        <item x="103"/>
        <item x="43"/>
        <item x="54"/>
        <item x="36"/>
        <item x="47"/>
        <item x="74"/>
        <item x="52"/>
        <item x="7"/>
        <item x="35"/>
        <item x="71"/>
        <item x="25"/>
        <item x="30"/>
        <item x="23"/>
        <item x="10"/>
        <item x="80"/>
        <item x="61"/>
        <item x="98"/>
        <item x="67"/>
        <item x="24"/>
        <item x="17"/>
        <item x="13"/>
        <item x="8"/>
        <item x="39"/>
        <item x="32"/>
        <item x="22"/>
        <item x="102"/>
        <item x="18"/>
        <item x="76"/>
        <item x="1"/>
        <item x="95"/>
        <item x="41"/>
        <item x="14"/>
        <item x="86"/>
        <item x="29"/>
        <item x="51"/>
        <item x="58"/>
        <item x="82"/>
        <item x="84"/>
        <item x="16"/>
        <item x="49"/>
        <item x="50"/>
        <item x="4"/>
        <item x="2"/>
        <item x="93"/>
        <item x="26"/>
        <item x="88"/>
        <item x="37"/>
        <item x="89"/>
        <item x="42"/>
        <item x="104"/>
        <item x="53"/>
        <item x="105"/>
        <item x="62"/>
        <item x="87"/>
        <item x="92"/>
        <item x="107"/>
        <item x="85"/>
        <item x="68"/>
        <item x="3"/>
        <item x="69"/>
        <item t="default"/>
      </items>
    </pivotField>
    <pivotField numFmtId="164" showAll="0"/>
    <pivotField numFmtId="164" showAll="0"/>
    <pivotField showAll="0"/>
    <pivotField showAll="0">
      <items count="4">
        <item x="1"/>
        <item x="2"/>
        <item x="0"/>
        <item t="default"/>
      </items>
    </pivotField>
    <pivotField numFmtId="165" showAll="0"/>
    <pivotField dataField="1" numFmtId="9" showAll="0"/>
    <pivotField showAll="0"/>
    <pivotField showAll="0">
      <items count="4">
        <item x="1"/>
        <item x="2"/>
        <item x="0"/>
        <item t="default"/>
      </items>
    </pivotField>
    <pivotField showAll="0"/>
    <pivotField showAll="0"/>
    <pivotField dataField="1" showAll="0"/>
    <pivotField showAll="0"/>
    <pivotField showAll="0">
      <items count="5">
        <item x="0"/>
        <item x="1"/>
        <item x="2"/>
        <item x="3"/>
        <item t="default"/>
      </items>
    </pivotField>
    <pivotField axis="axisPage" multipleItemSelectionAllowed="1" showAll="0">
      <items count="4">
        <item h="1" x="0"/>
        <item x="2"/>
        <item h="1" x="1"/>
        <item t="default"/>
      </items>
    </pivotField>
    <pivotField showAll="0"/>
    <pivotField showAll="0"/>
    <pivotField showAll="0"/>
  </pivotFields>
  <rowFields count="1">
    <field x="0"/>
  </rowFields>
  <rowItems count="9">
    <i>
      <x v="5"/>
    </i>
    <i>
      <x v="35"/>
    </i>
    <i>
      <x v="38"/>
    </i>
    <i>
      <x v="41"/>
    </i>
    <i>
      <x v="58"/>
    </i>
    <i>
      <x v="64"/>
    </i>
    <i>
      <x v="101"/>
    </i>
    <i>
      <x v="106"/>
    </i>
    <i t="grand">
      <x/>
    </i>
  </rowItems>
  <colFields count="1">
    <field x="-2"/>
  </colFields>
  <colItems count="2">
    <i>
      <x/>
    </i>
    <i i="1">
      <x v="1"/>
    </i>
  </colItems>
  <pageFields count="1">
    <pageField fld="14" hier="-1"/>
  </pageFields>
  <dataFields count="2">
    <dataField name="Average of Discount" fld="6" subtotal="average" baseField="0" baseItem="5" numFmtId="9"/>
    <dataField name="Average of Rating" fld="11" subtotal="average" baseField="0" baseItem="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544244-B2CF-4482-8847-D89982571D9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24:B270" firstHeaderRow="1" firstDataRow="1" firstDataCol="1"/>
  <pivotFields count="18">
    <pivotField dataField="1" showAll="0"/>
    <pivotField numFmtId="164" showAll="0"/>
    <pivotField numFmtId="164" showAll="0"/>
    <pivotField showAll="0"/>
    <pivotField showAll="0">
      <items count="4">
        <item x="1"/>
        <item x="2"/>
        <item x="0"/>
        <item t="default"/>
      </items>
    </pivotField>
    <pivotField numFmtId="165" showAll="0"/>
    <pivotField axis="axisRow" numFmtId="9" showAll="0">
      <items count="46">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t="default"/>
      </items>
    </pivotField>
    <pivotField showAll="0"/>
    <pivotField showAll="0">
      <items count="4">
        <item x="1"/>
        <item x="2"/>
        <item x="0"/>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s>
  <rowFields count="1">
    <field x="6"/>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Count of Product"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040A2E-1BDC-47C7-A2AA-35B837E1B6F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1" firstHeaderRow="0" firstDataRow="1" firstDataCol="1" rowPageCount="1" colPageCount="1"/>
  <pivotFields count="18">
    <pivotField axis="axisRow" showAll="0" sortType="descending">
      <items count="110">
        <item x="38"/>
        <item x="11"/>
        <item x="0"/>
        <item x="27"/>
        <item x="31"/>
        <item x="60"/>
        <item x="56"/>
        <item x="9"/>
        <item x="6"/>
        <item x="101"/>
        <item x="79"/>
        <item x="5"/>
        <item x="100"/>
        <item x="91"/>
        <item x="46"/>
        <item x="72"/>
        <item x="65"/>
        <item x="64"/>
        <item x="19"/>
        <item x="73"/>
        <item x="20"/>
        <item x="94"/>
        <item x="12"/>
        <item x="40"/>
        <item x="21"/>
        <item x="57"/>
        <item x="28"/>
        <item x="34"/>
        <item x="33"/>
        <item x="78"/>
        <item x="59"/>
        <item x="106"/>
        <item x="90"/>
        <item x="44"/>
        <item x="75"/>
        <item x="70"/>
        <item x="97"/>
        <item x="99"/>
        <item x="66"/>
        <item x="55"/>
        <item x="15"/>
        <item x="63"/>
        <item x="96"/>
        <item x="81"/>
        <item x="77"/>
        <item x="108"/>
        <item x="48"/>
        <item x="45"/>
        <item x="83"/>
        <item x="103"/>
        <item x="43"/>
        <item x="54"/>
        <item x="36"/>
        <item x="47"/>
        <item x="74"/>
        <item x="52"/>
        <item x="7"/>
        <item x="35"/>
        <item x="71"/>
        <item x="25"/>
        <item x="30"/>
        <item x="23"/>
        <item x="10"/>
        <item x="80"/>
        <item x="61"/>
        <item x="98"/>
        <item x="67"/>
        <item x="24"/>
        <item x="17"/>
        <item x="13"/>
        <item x="8"/>
        <item x="39"/>
        <item x="32"/>
        <item x="22"/>
        <item x="102"/>
        <item x="18"/>
        <item x="76"/>
        <item x="1"/>
        <item x="95"/>
        <item x="41"/>
        <item x="14"/>
        <item x="86"/>
        <item x="29"/>
        <item x="51"/>
        <item x="58"/>
        <item x="82"/>
        <item x="84"/>
        <item x="16"/>
        <item x="49"/>
        <item x="50"/>
        <item x="4"/>
        <item x="2"/>
        <item x="93"/>
        <item x="26"/>
        <item x="88"/>
        <item x="37"/>
        <item x="89"/>
        <item x="42"/>
        <item x="104"/>
        <item x="53"/>
        <item x="105"/>
        <item x="62"/>
        <item x="87"/>
        <item x="92"/>
        <item x="107"/>
        <item x="85"/>
        <item x="68"/>
        <item x="3"/>
        <item x="69"/>
        <item t="default"/>
      </items>
      <autoSortScope>
        <pivotArea dataOnly="0" outline="0" fieldPosition="0">
          <references count="1">
            <reference field="4294967294" count="1" selected="0">
              <x v="2"/>
            </reference>
          </references>
        </pivotArea>
      </autoSortScope>
    </pivotField>
    <pivotField dataField="1" numFmtId="164" showAll="0">
      <items count="104">
        <item x="19"/>
        <item x="86"/>
        <item x="102"/>
        <item x="35"/>
        <item x="78"/>
        <item x="29"/>
        <item x="16"/>
        <item x="97"/>
        <item x="46"/>
        <item x="71"/>
        <item x="40"/>
        <item x="90"/>
        <item x="80"/>
        <item x="47"/>
        <item x="58"/>
        <item x="76"/>
        <item x="15"/>
        <item x="64"/>
        <item x="62"/>
        <item x="36"/>
        <item x="53"/>
        <item x="24"/>
        <item x="57"/>
        <item x="101"/>
        <item x="55"/>
        <item x="39"/>
        <item x="50"/>
        <item x="13"/>
        <item x="65"/>
        <item x="92"/>
        <item x="1"/>
        <item x="12"/>
        <item x="77"/>
        <item x="83"/>
        <item x="81"/>
        <item x="44"/>
        <item x="69"/>
        <item x="51"/>
        <item x="68"/>
        <item x="10"/>
        <item x="84"/>
        <item x="21"/>
        <item x="87"/>
        <item x="0"/>
        <item x="66"/>
        <item x="73"/>
        <item x="30"/>
        <item x="7"/>
        <item x="11"/>
        <item x="18"/>
        <item x="42"/>
        <item x="60"/>
        <item x="93"/>
        <item x="98"/>
        <item x="72"/>
        <item x="43"/>
        <item x="45"/>
        <item x="59"/>
        <item x="8"/>
        <item x="85"/>
        <item x="26"/>
        <item x="95"/>
        <item x="49"/>
        <item x="74"/>
        <item x="89"/>
        <item x="79"/>
        <item x="82"/>
        <item x="88"/>
        <item x="67"/>
        <item x="3"/>
        <item x="9"/>
        <item x="34"/>
        <item x="22"/>
        <item x="99"/>
        <item x="48"/>
        <item x="75"/>
        <item x="14"/>
        <item x="70"/>
        <item x="4"/>
        <item x="27"/>
        <item x="100"/>
        <item x="37"/>
        <item x="31"/>
        <item x="20"/>
        <item x="96"/>
        <item x="32"/>
        <item x="33"/>
        <item x="17"/>
        <item x="23"/>
        <item x="56"/>
        <item x="41"/>
        <item x="54"/>
        <item x="2"/>
        <item x="28"/>
        <item x="63"/>
        <item x="6"/>
        <item x="38"/>
        <item x="52"/>
        <item x="25"/>
        <item x="5"/>
        <item x="91"/>
        <item x="94"/>
        <item x="61"/>
        <item t="default"/>
      </items>
    </pivotField>
    <pivotField numFmtId="164" showAll="0"/>
    <pivotField showAll="0"/>
    <pivotField showAll="0">
      <items count="4">
        <item x="1"/>
        <item x="2"/>
        <item x="0"/>
        <item t="default"/>
      </items>
    </pivotField>
    <pivotField numFmtId="165" showAll="0"/>
    <pivotField numFmtId="9" showAll="0"/>
    <pivotField showAll="0"/>
    <pivotField showAll="0">
      <items count="4">
        <item x="1"/>
        <item x="2"/>
        <item x="0"/>
        <item t="default"/>
      </items>
    </pivotField>
    <pivotField axis="axisPage" dataField="1" multipleItemSelectionAllowed="1" showAll="0">
      <items count="25">
        <item x="18"/>
        <item x="0"/>
        <item x="11"/>
        <item x="4"/>
        <item x="9"/>
        <item x="3"/>
        <item x="10"/>
        <item x="20"/>
        <item x="7"/>
        <item x="13"/>
        <item x="1"/>
        <item x="5"/>
        <item x="22"/>
        <item x="23"/>
        <item x="16"/>
        <item x="2"/>
        <item x="17"/>
        <item x="19"/>
        <item x="8"/>
        <item x="12"/>
        <item x="15"/>
        <item x="6"/>
        <item x="21"/>
        <item h="1" x="14"/>
        <item t="default"/>
      </items>
    </pivotField>
    <pivotField showAll="0"/>
    <pivotField dataField="1" showAll="0"/>
    <pivotField showAll="0"/>
    <pivotField showAll="0">
      <items count="5">
        <item x="0"/>
        <item x="1"/>
        <item x="2"/>
        <item x="3"/>
        <item t="default"/>
      </items>
    </pivotField>
    <pivotField showAll="0"/>
    <pivotField showAll="0"/>
    <pivotField showAll="0"/>
    <pivotField showAll="0"/>
  </pivotFields>
  <rowFields count="1">
    <field x="0"/>
  </rowFields>
  <rowItems count="58">
    <i>
      <x v="57"/>
    </i>
    <i>
      <x v="68"/>
    </i>
    <i>
      <x v="65"/>
    </i>
    <i>
      <x v="40"/>
    </i>
    <i>
      <x v="87"/>
    </i>
    <i>
      <x v="52"/>
    </i>
    <i>
      <x v="44"/>
    </i>
    <i>
      <x v="70"/>
    </i>
    <i>
      <x v="90"/>
    </i>
    <i>
      <x v="22"/>
    </i>
    <i>
      <x v="4"/>
    </i>
    <i>
      <x v="28"/>
    </i>
    <i>
      <x v="1"/>
    </i>
    <i>
      <x v="107"/>
    </i>
    <i>
      <x v="91"/>
    </i>
    <i>
      <x v="8"/>
    </i>
    <i>
      <x v="75"/>
    </i>
    <i>
      <x v="18"/>
    </i>
    <i>
      <x v="59"/>
    </i>
    <i>
      <x v="27"/>
    </i>
    <i>
      <x v="69"/>
    </i>
    <i>
      <x/>
    </i>
    <i>
      <x v="2"/>
    </i>
    <i>
      <x v="61"/>
    </i>
    <i>
      <x v="67"/>
    </i>
    <i>
      <x v="72"/>
    </i>
    <i>
      <x v="60"/>
    </i>
    <i>
      <x v="95"/>
    </i>
    <i>
      <x v="80"/>
    </i>
    <i>
      <x v="77"/>
    </i>
    <i>
      <x v="62"/>
    </i>
    <i>
      <x v="26"/>
    </i>
    <i>
      <x v="56"/>
    </i>
    <i>
      <x v="63"/>
    </i>
    <i>
      <x v="73"/>
    </i>
    <i>
      <x v="11"/>
    </i>
    <i>
      <x v="3"/>
    </i>
    <i>
      <x v="93"/>
    </i>
    <i>
      <x v="7"/>
    </i>
    <i>
      <x v="20"/>
    </i>
    <i>
      <x v="66"/>
    </i>
    <i>
      <x v="84"/>
    </i>
    <i>
      <x v="108"/>
    </i>
    <i>
      <x v="76"/>
    </i>
    <i>
      <x v="16"/>
    </i>
    <i>
      <x v="101"/>
    </i>
    <i>
      <x v="5"/>
    </i>
    <i>
      <x v="64"/>
    </i>
    <i>
      <x v="38"/>
    </i>
    <i>
      <x v="25"/>
    </i>
    <i>
      <x v="17"/>
    </i>
    <i>
      <x v="106"/>
    </i>
    <i>
      <x v="35"/>
    </i>
    <i>
      <x v="41"/>
    </i>
    <i>
      <x v="58"/>
    </i>
    <i>
      <x v="30"/>
    </i>
    <i>
      <x v="104"/>
    </i>
    <i t="grand">
      <x/>
    </i>
  </rowItems>
  <colFields count="1">
    <field x="-2"/>
  </colFields>
  <colItems count="3">
    <i>
      <x/>
    </i>
    <i i="1">
      <x v="1"/>
    </i>
    <i i="2">
      <x v="2"/>
    </i>
  </colItems>
  <pageFields count="1">
    <pageField fld="9" hier="-1"/>
  </pageFields>
  <dataFields count="3">
    <dataField name="Sum of Current Price" fld="1" baseField="0" baseItem="0" numFmtId="164"/>
    <dataField name="Sum of Review" fld="9" baseField="0" baseItem="0"/>
    <dataField name="Average of Rating"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24EE5A-8C94-43DF-B75C-0565CD84EDB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96:B220" firstHeaderRow="1" firstDataRow="1" firstDataCol="1"/>
  <pivotFields count="18">
    <pivotField dataField="1" showAll="0">
      <items count="110">
        <item x="38"/>
        <item x="11"/>
        <item x="0"/>
        <item x="27"/>
        <item x="31"/>
        <item x="60"/>
        <item x="56"/>
        <item x="9"/>
        <item x="6"/>
        <item x="101"/>
        <item x="79"/>
        <item x="5"/>
        <item x="100"/>
        <item x="91"/>
        <item x="46"/>
        <item x="72"/>
        <item x="65"/>
        <item x="64"/>
        <item x="19"/>
        <item x="73"/>
        <item x="20"/>
        <item x="94"/>
        <item x="12"/>
        <item x="40"/>
        <item x="21"/>
        <item x="57"/>
        <item x="28"/>
        <item x="34"/>
        <item x="33"/>
        <item x="78"/>
        <item x="59"/>
        <item x="106"/>
        <item x="90"/>
        <item x="44"/>
        <item x="75"/>
        <item x="70"/>
        <item x="97"/>
        <item x="99"/>
        <item x="66"/>
        <item x="55"/>
        <item x="15"/>
        <item x="63"/>
        <item x="96"/>
        <item x="81"/>
        <item x="77"/>
        <item x="108"/>
        <item x="48"/>
        <item x="45"/>
        <item x="83"/>
        <item x="103"/>
        <item x="43"/>
        <item x="54"/>
        <item x="36"/>
        <item x="47"/>
        <item x="74"/>
        <item x="52"/>
        <item x="7"/>
        <item x="35"/>
        <item x="71"/>
        <item x="25"/>
        <item x="30"/>
        <item x="23"/>
        <item x="10"/>
        <item x="80"/>
        <item x="61"/>
        <item x="98"/>
        <item x="67"/>
        <item x="24"/>
        <item x="17"/>
        <item x="13"/>
        <item x="8"/>
        <item x="39"/>
        <item x="32"/>
        <item x="22"/>
        <item x="102"/>
        <item x="18"/>
        <item x="76"/>
        <item x="1"/>
        <item x="95"/>
        <item x="41"/>
        <item x="14"/>
        <item x="86"/>
        <item x="29"/>
        <item x="51"/>
        <item x="58"/>
        <item x="82"/>
        <item x="84"/>
        <item x="16"/>
        <item x="49"/>
        <item x="50"/>
        <item x="4"/>
        <item x="2"/>
        <item x="93"/>
        <item x="26"/>
        <item x="88"/>
        <item x="37"/>
        <item x="89"/>
        <item x="42"/>
        <item x="104"/>
        <item x="53"/>
        <item x="105"/>
        <item x="62"/>
        <item x="87"/>
        <item x="92"/>
        <item x="107"/>
        <item x="85"/>
        <item x="68"/>
        <item x="3"/>
        <item x="69"/>
        <item t="default"/>
      </items>
    </pivotField>
    <pivotField numFmtId="164" showAll="0"/>
    <pivotField numFmtId="164" showAll="0"/>
    <pivotField showAll="0"/>
    <pivotField showAll="0">
      <items count="4">
        <item x="1"/>
        <item x="2"/>
        <item x="0"/>
        <item t="default"/>
      </items>
    </pivotField>
    <pivotField numFmtId="165" showAll="0"/>
    <pivotField numFmtId="9" showAll="0"/>
    <pivotField showAll="0"/>
    <pivotField showAll="0">
      <items count="4">
        <item x="1"/>
        <item x="2"/>
        <item x="0"/>
        <item t="default"/>
      </items>
    </pivotField>
    <pivotField showAll="0"/>
    <pivotField showAll="0"/>
    <pivotField axis="axisRow"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items count="5">
        <item x="0"/>
        <item x="1"/>
        <item x="2"/>
        <item x="3"/>
        <item t="default"/>
      </items>
    </pivotField>
    <pivotField showAll="0"/>
    <pivotField showAll="0"/>
    <pivotField showAll="0"/>
    <pivotField showAll="0"/>
  </pivotFields>
  <rowFields count="1">
    <field x="11"/>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Count of Product" fld="0" subtotal="count" baseField="0" baseItem="0"/>
  </dataFields>
  <chartFormats count="2">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DF4276-98B9-451F-89FC-34B757E6BD9F}"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113:B124" firstHeaderRow="1" firstDataRow="1" firstDataCol="1"/>
  <pivotFields count="18">
    <pivotField axis="axisRow" showAll="0" measureFilter="1" sortType="descending">
      <items count="110">
        <item x="38"/>
        <item x="11"/>
        <item x="0"/>
        <item x="27"/>
        <item x="31"/>
        <item x="60"/>
        <item x="56"/>
        <item x="9"/>
        <item x="6"/>
        <item x="101"/>
        <item x="79"/>
        <item x="5"/>
        <item x="100"/>
        <item x="91"/>
        <item x="46"/>
        <item x="72"/>
        <item x="65"/>
        <item x="64"/>
        <item x="19"/>
        <item x="73"/>
        <item x="20"/>
        <item x="94"/>
        <item x="12"/>
        <item x="40"/>
        <item x="21"/>
        <item x="57"/>
        <item x="28"/>
        <item x="34"/>
        <item x="33"/>
        <item x="78"/>
        <item x="59"/>
        <item x="106"/>
        <item x="90"/>
        <item x="44"/>
        <item x="75"/>
        <item x="70"/>
        <item x="97"/>
        <item x="99"/>
        <item x="66"/>
        <item x="55"/>
        <item x="15"/>
        <item x="63"/>
        <item x="96"/>
        <item x="81"/>
        <item x="77"/>
        <item x="108"/>
        <item x="48"/>
        <item x="45"/>
        <item x="83"/>
        <item x="103"/>
        <item x="43"/>
        <item x="54"/>
        <item x="36"/>
        <item x="47"/>
        <item x="74"/>
        <item x="52"/>
        <item x="7"/>
        <item x="35"/>
        <item x="71"/>
        <item x="25"/>
        <item x="30"/>
        <item x="23"/>
        <item x="10"/>
        <item x="80"/>
        <item x="61"/>
        <item x="98"/>
        <item x="67"/>
        <item x="24"/>
        <item x="17"/>
        <item x="13"/>
        <item x="8"/>
        <item x="39"/>
        <item x="32"/>
        <item x="22"/>
        <item x="102"/>
        <item x="18"/>
        <item x="76"/>
        <item x="1"/>
        <item x="95"/>
        <item x="41"/>
        <item x="14"/>
        <item x="86"/>
        <item x="29"/>
        <item x="51"/>
        <item x="58"/>
        <item x="82"/>
        <item x="84"/>
        <item x="16"/>
        <item x="49"/>
        <item x="50"/>
        <item x="4"/>
        <item x="2"/>
        <item x="93"/>
        <item x="26"/>
        <item x="88"/>
        <item x="37"/>
        <item x="89"/>
        <item x="42"/>
        <item x="104"/>
        <item x="53"/>
        <item x="105"/>
        <item x="62"/>
        <item x="87"/>
        <item x="92"/>
        <item x="107"/>
        <item x="85"/>
        <item x="68"/>
        <item x="3"/>
        <item x="69"/>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pivotField showAll="0">
      <items count="4">
        <item x="1"/>
        <item x="2"/>
        <item x="0"/>
        <item t="default"/>
      </items>
    </pivotField>
    <pivotField numFmtId="165" showAll="0"/>
    <pivotField numFmtId="9" showAll="0"/>
    <pivotField showAll="0"/>
    <pivotField showAll="0">
      <items count="4">
        <item x="1"/>
        <item x="2"/>
        <item x="0"/>
        <item t="default"/>
      </items>
    </pivotField>
    <pivotField showAll="0"/>
    <pivotField showAll="0"/>
    <pivotField dataField="1" showAll="0"/>
    <pivotField showAll="0"/>
    <pivotField showAll="0">
      <items count="5">
        <item x="0"/>
        <item x="1"/>
        <item x="2"/>
        <item x="3"/>
        <item t="default"/>
      </items>
    </pivotField>
    <pivotField showAll="0"/>
    <pivotField showAll="0"/>
    <pivotField showAll="0"/>
    <pivotField showAll="0"/>
  </pivotFields>
  <rowFields count="1">
    <field x="0"/>
  </rowFields>
  <rowItems count="11">
    <i>
      <x v="52"/>
    </i>
    <i>
      <x v="68"/>
    </i>
    <i>
      <x v="65"/>
    </i>
    <i>
      <x v="40"/>
    </i>
    <i>
      <x v="87"/>
    </i>
    <i>
      <x v="44"/>
    </i>
    <i>
      <x v="57"/>
    </i>
    <i>
      <x v="70"/>
    </i>
    <i>
      <x v="90"/>
    </i>
    <i>
      <x v="22"/>
    </i>
    <i t="grand">
      <x/>
    </i>
  </rowItems>
  <colItems count="1">
    <i/>
  </colItems>
  <dataFields count="1">
    <dataField name="Average of Rating" fld="11" subtotal="average"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0A313E-3E29-4919-B3B7-13229844CBF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5:C192" firstHeaderRow="0" firstDataRow="1" firstDataCol="1" rowPageCount="1" colPageCount="1"/>
  <pivotFields count="18">
    <pivotField axis="axisRow" showAll="0">
      <items count="110">
        <item x="38"/>
        <item x="11"/>
        <item x="0"/>
        <item x="27"/>
        <item x="31"/>
        <item x="60"/>
        <item x="56"/>
        <item x="9"/>
        <item x="6"/>
        <item x="101"/>
        <item x="79"/>
        <item x="5"/>
        <item x="100"/>
        <item x="91"/>
        <item x="46"/>
        <item x="72"/>
        <item x="65"/>
        <item x="64"/>
        <item x="19"/>
        <item x="73"/>
        <item x="20"/>
        <item x="94"/>
        <item x="12"/>
        <item x="40"/>
        <item x="21"/>
        <item x="57"/>
        <item x="28"/>
        <item x="34"/>
        <item x="33"/>
        <item x="78"/>
        <item x="59"/>
        <item x="106"/>
        <item x="90"/>
        <item x="44"/>
        <item x="75"/>
        <item x="70"/>
        <item x="97"/>
        <item x="99"/>
        <item x="66"/>
        <item x="55"/>
        <item x="15"/>
        <item x="63"/>
        <item x="96"/>
        <item x="81"/>
        <item x="77"/>
        <item x="108"/>
        <item x="48"/>
        <item x="45"/>
        <item x="83"/>
        <item x="103"/>
        <item x="43"/>
        <item x="54"/>
        <item x="36"/>
        <item x="47"/>
        <item x="74"/>
        <item x="52"/>
        <item x="7"/>
        <item x="35"/>
        <item x="71"/>
        <item x="25"/>
        <item x="30"/>
        <item x="23"/>
        <item x="10"/>
        <item x="80"/>
        <item x="61"/>
        <item x="98"/>
        <item x="67"/>
        <item x="24"/>
        <item x="17"/>
        <item x="13"/>
        <item x="8"/>
        <item x="39"/>
        <item x="32"/>
        <item x="22"/>
        <item x="102"/>
        <item x="18"/>
        <item x="76"/>
        <item x="1"/>
        <item x="95"/>
        <item x="41"/>
        <item x="14"/>
        <item x="86"/>
        <item x="29"/>
        <item x="51"/>
        <item x="58"/>
        <item x="82"/>
        <item x="84"/>
        <item x="16"/>
        <item x="49"/>
        <item x="50"/>
        <item x="4"/>
        <item x="2"/>
        <item x="93"/>
        <item x="26"/>
        <item x="88"/>
        <item x="37"/>
        <item x="89"/>
        <item x="42"/>
        <item x="104"/>
        <item x="53"/>
        <item x="105"/>
        <item x="62"/>
        <item x="87"/>
        <item x="92"/>
        <item x="107"/>
        <item x="85"/>
        <item x="68"/>
        <item x="3"/>
        <item x="69"/>
        <item t="default"/>
      </items>
    </pivotField>
    <pivotField numFmtId="164" showAll="0"/>
    <pivotField numFmtId="164" showAll="0"/>
    <pivotField showAll="0"/>
    <pivotField showAll="0">
      <items count="4">
        <item x="1"/>
        <item x="2"/>
        <item x="0"/>
        <item t="default"/>
      </items>
    </pivotField>
    <pivotField numFmtId="165" showAll="0"/>
    <pivotField numFmtId="9" showAll="0"/>
    <pivotField showAll="0"/>
    <pivotField showAll="0">
      <items count="4">
        <item x="1"/>
        <item x="2"/>
        <item x="0"/>
        <item t="default"/>
      </items>
    </pivotField>
    <pivotField dataField="1" showAll="0"/>
    <pivotField showAll="0"/>
    <pivotField dataField="1" showAll="0"/>
    <pivotField showAll="0"/>
    <pivotField showAll="0">
      <items count="5">
        <item x="0"/>
        <item x="1"/>
        <item x="2"/>
        <item x="3"/>
        <item t="default"/>
      </items>
    </pivotField>
    <pivotField showAll="0"/>
    <pivotField showAll="0"/>
    <pivotField showAll="0"/>
    <pivotField axis="axisPage" multipleItemSelectionAllowed="1" showAll="0">
      <items count="4">
        <item h="1" x="0"/>
        <item h="1" x="2"/>
        <item x="1"/>
        <item t="default"/>
      </items>
    </pivotField>
  </pivotFields>
  <rowFields count="1">
    <field x="0"/>
  </rowFields>
  <rowItems count="7">
    <i>
      <x v="1"/>
    </i>
    <i>
      <x v="8"/>
    </i>
    <i>
      <x v="18"/>
    </i>
    <i>
      <x v="28"/>
    </i>
    <i>
      <x v="59"/>
    </i>
    <i>
      <x v="91"/>
    </i>
    <i t="grand">
      <x/>
    </i>
  </rowItems>
  <colFields count="1">
    <field x="-2"/>
  </colFields>
  <colItems count="2">
    <i>
      <x/>
    </i>
    <i i="1">
      <x v="1"/>
    </i>
  </colItems>
  <pageFields count="1">
    <pageField fld="17" hier="-1"/>
  </pageFields>
  <dataFields count="2">
    <dataField name="Sum of Review" fld="9" baseField="0" baseItem="0"/>
    <dataField name="Average of Rating" fld="11"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15A4A7-520C-45F5-B5FB-B023F06B1E6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93:B298" firstHeaderRow="1" firstDataRow="1" firstDataCol="1"/>
  <pivotFields count="18">
    <pivotField showAll="0"/>
    <pivotField numFmtId="164" showAll="0"/>
    <pivotField numFmtId="164" showAll="0"/>
    <pivotField showAll="0"/>
    <pivotField showAll="0">
      <items count="4">
        <item x="1"/>
        <item x="2"/>
        <item x="0"/>
        <item t="default"/>
      </items>
    </pivotField>
    <pivotField numFmtId="165" showAll="0"/>
    <pivotField numFmtId="9" showAll="0"/>
    <pivotField showAll="0"/>
    <pivotField showAll="0">
      <items count="4">
        <item x="1"/>
        <item x="2"/>
        <item x="0"/>
        <item t="default"/>
      </items>
    </pivotField>
    <pivotField dataField="1" showAll="0"/>
    <pivotField showAll="0"/>
    <pivotField showAll="0"/>
    <pivotField showAll="0"/>
    <pivotField axis="axisRow" showAll="0">
      <items count="5">
        <item x="0"/>
        <item x="1"/>
        <item x="2"/>
        <item x="3"/>
        <item t="default"/>
      </items>
    </pivotField>
    <pivotField showAll="0"/>
    <pivotField showAll="0"/>
    <pivotField showAll="0"/>
    <pivotField showAll="0"/>
  </pivotFields>
  <rowFields count="1">
    <field x="13"/>
  </rowFields>
  <rowItems count="5">
    <i>
      <x/>
    </i>
    <i>
      <x v="1"/>
    </i>
    <i>
      <x v="2"/>
    </i>
    <i>
      <x v="3"/>
    </i>
    <i t="grand">
      <x/>
    </i>
  </rowItems>
  <colItems count="1">
    <i/>
  </colItems>
  <dataFields count="1">
    <dataField name="Sum of Review" fld="9" baseField="0" baseItem="0"/>
  </dataFields>
  <chartFormats count="10">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3" count="1" selected="0">
            <x v="0"/>
          </reference>
        </references>
      </pivotArea>
    </chartFormat>
    <chartFormat chart="6" format="7">
      <pivotArea type="data" outline="0" fieldPosition="0">
        <references count="2">
          <reference field="4294967294" count="1" selected="0">
            <x v="0"/>
          </reference>
          <reference field="13" count="1" selected="0">
            <x v="1"/>
          </reference>
        </references>
      </pivotArea>
    </chartFormat>
    <chartFormat chart="6" format="8">
      <pivotArea type="data" outline="0" fieldPosition="0">
        <references count="2">
          <reference field="4294967294" count="1" selected="0">
            <x v="0"/>
          </reference>
          <reference field="13" count="1" selected="0">
            <x v="3"/>
          </reference>
        </references>
      </pivotArea>
    </chartFormat>
    <chartFormat chart="6" format="9">
      <pivotArea type="data" outline="0" fieldPosition="0">
        <references count="2">
          <reference field="4294967294" count="1" selected="0">
            <x v="0"/>
          </reference>
          <reference field="13" count="1" selected="0">
            <x v="2"/>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0" format="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BA35B9-E31E-4857-886C-43CD43E2989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84:B288" firstHeaderRow="1" firstDataRow="1" firstDataCol="1"/>
  <pivotFields count="18">
    <pivotField showAll="0"/>
    <pivotField numFmtId="164" showAll="0"/>
    <pivotField numFmtId="164" showAll="0"/>
    <pivotField showAll="0"/>
    <pivotField showAll="0">
      <items count="4">
        <item x="1"/>
        <item x="2"/>
        <item x="0"/>
        <item t="default"/>
      </items>
    </pivotField>
    <pivotField numFmtId="165" showAll="0"/>
    <pivotField numFmtId="9" showAll="0"/>
    <pivotField showAll="0"/>
    <pivotField axis="axisRow" showAll="0">
      <items count="4">
        <item x="1"/>
        <item x="2"/>
        <item x="0"/>
        <item t="default"/>
      </items>
    </pivotField>
    <pivotField dataField="1" showAll="0"/>
    <pivotField showAll="0"/>
    <pivotField showAll="0"/>
    <pivotField showAll="0"/>
    <pivotField showAll="0">
      <items count="5">
        <item x="0"/>
        <item x="1"/>
        <item x="2"/>
        <item x="3"/>
        <item t="default"/>
      </items>
    </pivotField>
    <pivotField showAll="0"/>
    <pivotField showAll="0"/>
    <pivotField showAll="0"/>
    <pivotField showAll="0"/>
  </pivotFields>
  <rowFields count="1">
    <field x="8"/>
  </rowFields>
  <rowItems count="4">
    <i>
      <x/>
    </i>
    <i>
      <x v="1"/>
    </i>
    <i>
      <x v="2"/>
    </i>
    <i t="grand">
      <x/>
    </i>
  </rowItems>
  <colItems count="1">
    <i/>
  </colItems>
  <dataFields count="1">
    <dataField name="Sum of Review" fld="9"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2BC166-F66A-401B-88DD-EFA01E923D0C}"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A95:B106" firstHeaderRow="1" firstDataRow="1" firstDataCol="1"/>
  <pivotFields count="18">
    <pivotField axis="axisRow" showAll="0" measureFilter="1" sortType="descending">
      <items count="110">
        <item x="38"/>
        <item x="11"/>
        <item x="0"/>
        <item x="27"/>
        <item x="31"/>
        <item x="60"/>
        <item x="56"/>
        <item x="9"/>
        <item x="6"/>
        <item x="101"/>
        <item x="79"/>
        <item x="5"/>
        <item x="100"/>
        <item x="91"/>
        <item x="46"/>
        <item x="72"/>
        <item x="65"/>
        <item x="64"/>
        <item x="19"/>
        <item x="73"/>
        <item x="20"/>
        <item x="94"/>
        <item x="12"/>
        <item x="40"/>
        <item x="21"/>
        <item x="57"/>
        <item x="28"/>
        <item x="34"/>
        <item x="33"/>
        <item x="78"/>
        <item x="59"/>
        <item x="106"/>
        <item x="90"/>
        <item x="44"/>
        <item x="75"/>
        <item x="70"/>
        <item x="97"/>
        <item x="99"/>
        <item x="66"/>
        <item x="55"/>
        <item x="15"/>
        <item x="63"/>
        <item x="96"/>
        <item x="81"/>
        <item x="77"/>
        <item x="108"/>
        <item x="48"/>
        <item x="45"/>
        <item x="83"/>
        <item x="103"/>
        <item x="43"/>
        <item x="54"/>
        <item x="36"/>
        <item x="47"/>
        <item x="74"/>
        <item x="52"/>
        <item x="7"/>
        <item x="35"/>
        <item x="71"/>
        <item x="25"/>
        <item x="30"/>
        <item x="23"/>
        <item x="10"/>
        <item x="80"/>
        <item x="61"/>
        <item x="98"/>
        <item x="67"/>
        <item x="24"/>
        <item x="17"/>
        <item x="13"/>
        <item x="8"/>
        <item x="39"/>
        <item x="32"/>
        <item x="22"/>
        <item x="102"/>
        <item x="18"/>
        <item x="76"/>
        <item x="1"/>
        <item x="95"/>
        <item x="41"/>
        <item x="14"/>
        <item x="86"/>
        <item x="29"/>
        <item x="51"/>
        <item x="58"/>
        <item x="82"/>
        <item x="84"/>
        <item x="16"/>
        <item x="49"/>
        <item x="50"/>
        <item x="4"/>
        <item x="2"/>
        <item x="93"/>
        <item x="26"/>
        <item x="88"/>
        <item x="37"/>
        <item x="89"/>
        <item x="42"/>
        <item x="104"/>
        <item x="53"/>
        <item x="105"/>
        <item x="62"/>
        <item x="87"/>
        <item x="92"/>
        <item x="107"/>
        <item x="85"/>
        <item x="68"/>
        <item x="3"/>
        <item x="69"/>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pivotField showAll="0">
      <items count="4">
        <item x="1"/>
        <item x="2"/>
        <item x="0"/>
        <item t="default"/>
      </items>
    </pivotField>
    <pivotField numFmtId="165" showAll="0"/>
    <pivotField numFmtId="9" showAll="0"/>
    <pivotField showAll="0"/>
    <pivotField showAll="0">
      <items count="4">
        <item x="1"/>
        <item x="2"/>
        <item x="0"/>
        <item t="default"/>
      </items>
    </pivotField>
    <pivotField dataField="1" showAll="0"/>
    <pivotField showAll="0"/>
    <pivotField showAll="0"/>
    <pivotField showAll="0"/>
    <pivotField showAll="0">
      <items count="5">
        <item x="0"/>
        <item x="1"/>
        <item x="2"/>
        <item x="3"/>
        <item t="default"/>
      </items>
    </pivotField>
    <pivotField showAll="0"/>
    <pivotField showAll="0"/>
    <pivotField showAll="0"/>
    <pivotField showAll="0"/>
  </pivotFields>
  <rowFields count="1">
    <field x="0"/>
  </rowFields>
  <rowItems count="11">
    <i>
      <x v="5"/>
    </i>
    <i>
      <x v="8"/>
    </i>
    <i>
      <x v="59"/>
    </i>
    <i>
      <x v="18"/>
    </i>
    <i>
      <x v="1"/>
    </i>
    <i>
      <x v="95"/>
    </i>
    <i>
      <x v="27"/>
    </i>
    <i>
      <x v="91"/>
    </i>
    <i>
      <x v="28"/>
    </i>
    <i>
      <x v="26"/>
    </i>
    <i t="grand">
      <x/>
    </i>
  </rowItems>
  <colItems count="1">
    <i/>
  </colItems>
  <dataFields count="1">
    <dataField name="Sum of Review" fld="9" baseField="0" baseItem="0"/>
  </dataFields>
  <chartFormats count="2">
    <chartFormat chart="2"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E8C182D-367C-4108-B687-CCC4104FA6C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4:C179" firstHeaderRow="0" firstDataRow="1" firstDataCol="1" rowPageCount="1" colPageCount="1"/>
  <pivotFields count="18">
    <pivotField axis="axisRow" showAll="0">
      <items count="110">
        <item x="38"/>
        <item x="11"/>
        <item x="0"/>
        <item x="27"/>
        <item x="31"/>
        <item x="60"/>
        <item x="56"/>
        <item x="9"/>
        <item x="6"/>
        <item x="101"/>
        <item x="79"/>
        <item x="5"/>
        <item x="100"/>
        <item x="91"/>
        <item x="46"/>
        <item x="72"/>
        <item x="65"/>
        <item x="64"/>
        <item x="19"/>
        <item x="73"/>
        <item x="20"/>
        <item x="94"/>
        <item x="12"/>
        <item x="40"/>
        <item x="21"/>
        <item x="57"/>
        <item x="28"/>
        <item x="34"/>
        <item x="33"/>
        <item x="78"/>
        <item x="59"/>
        <item x="106"/>
        <item x="90"/>
        <item x="44"/>
        <item x="75"/>
        <item x="70"/>
        <item x="97"/>
        <item x="99"/>
        <item x="66"/>
        <item x="55"/>
        <item x="15"/>
        <item x="63"/>
        <item x="96"/>
        <item x="81"/>
        <item x="77"/>
        <item x="108"/>
        <item x="48"/>
        <item x="45"/>
        <item x="83"/>
        <item x="103"/>
        <item x="43"/>
        <item x="54"/>
        <item x="36"/>
        <item x="47"/>
        <item x="74"/>
        <item x="52"/>
        <item x="7"/>
        <item x="35"/>
        <item x="71"/>
        <item x="25"/>
        <item x="30"/>
        <item x="23"/>
        <item x="10"/>
        <item x="80"/>
        <item x="61"/>
        <item x="98"/>
        <item x="67"/>
        <item x="24"/>
        <item x="17"/>
        <item x="13"/>
        <item x="8"/>
        <item x="39"/>
        <item x="32"/>
        <item x="22"/>
        <item x="102"/>
        <item x="18"/>
        <item x="76"/>
        <item x="1"/>
        <item x="95"/>
        <item x="41"/>
        <item x="14"/>
        <item x="86"/>
        <item x="29"/>
        <item x="51"/>
        <item x="58"/>
        <item x="82"/>
        <item x="84"/>
        <item x="16"/>
        <item x="49"/>
        <item x="50"/>
        <item x="4"/>
        <item x="2"/>
        <item x="93"/>
        <item x="26"/>
        <item x="88"/>
        <item x="37"/>
        <item x="89"/>
        <item x="42"/>
        <item x="104"/>
        <item x="53"/>
        <item x="105"/>
        <item x="62"/>
        <item x="87"/>
        <item x="92"/>
        <item x="107"/>
        <item x="85"/>
        <item x="68"/>
        <item x="3"/>
        <item x="69"/>
        <item t="default"/>
      </items>
    </pivotField>
    <pivotField numFmtId="164" showAll="0"/>
    <pivotField numFmtId="164" showAll="0"/>
    <pivotField showAll="0"/>
    <pivotField showAll="0">
      <items count="4">
        <item x="1"/>
        <item x="2"/>
        <item x="0"/>
        <item t="default"/>
      </items>
    </pivotField>
    <pivotField numFmtId="165" showAll="0"/>
    <pivotField numFmtId="9" showAll="0"/>
    <pivotField showAll="0"/>
    <pivotField showAll="0">
      <items count="4">
        <item x="1"/>
        <item x="2"/>
        <item x="0"/>
        <item t="default"/>
      </items>
    </pivotField>
    <pivotField dataField="1" showAll="0"/>
    <pivotField showAll="0"/>
    <pivotField dataField="1" showAll="0"/>
    <pivotField showAll="0"/>
    <pivotField showAll="0">
      <items count="5">
        <item x="0"/>
        <item x="1"/>
        <item x="2"/>
        <item x="3"/>
        <item t="default"/>
      </items>
    </pivotField>
    <pivotField showAll="0"/>
    <pivotField showAll="0"/>
    <pivotField axis="axisPage" multipleItemSelectionAllowed="1" showAll="0">
      <items count="4">
        <item h="1" x="0"/>
        <item x="1"/>
        <item h="1" x="2"/>
        <item t="default"/>
      </items>
    </pivotField>
    <pivotField showAll="0"/>
  </pivotFields>
  <rowFields count="1">
    <field x="0"/>
  </rowFields>
  <rowItems count="5">
    <i>
      <x v="11"/>
    </i>
    <i>
      <x v="26"/>
    </i>
    <i>
      <x v="27"/>
    </i>
    <i>
      <x v="95"/>
    </i>
    <i t="grand">
      <x/>
    </i>
  </rowItems>
  <colFields count="1">
    <field x="-2"/>
  </colFields>
  <colItems count="2">
    <i>
      <x/>
    </i>
    <i i="1">
      <x v="1"/>
    </i>
  </colItems>
  <pageFields count="1">
    <pageField fld="16" hier="-1"/>
  </pageFields>
  <dataFields count="2">
    <dataField name="Sum of Review" fld="9" baseField="0" baseItem="0"/>
    <dataField name="Average of Rating" fld="11"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9A5281D-E543-4B73-9D73-F23132B78E2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75:B279" firstHeaderRow="1" firstDataRow="1" firstDataCol="1"/>
  <pivotFields count="18">
    <pivotField showAll="0"/>
    <pivotField numFmtId="164" showAll="0"/>
    <pivotField numFmtId="164" showAll="0"/>
    <pivotField showAll="0"/>
    <pivotField axis="axisRow" showAll="0">
      <items count="4">
        <item x="1"/>
        <item x="2"/>
        <item x="0"/>
        <item t="default"/>
      </items>
    </pivotField>
    <pivotField numFmtId="165" showAll="0"/>
    <pivotField numFmtId="9" showAll="0"/>
    <pivotField showAll="0"/>
    <pivotField showAll="0">
      <items count="4">
        <item x="1"/>
        <item x="2"/>
        <item x="0"/>
        <item t="default"/>
      </items>
    </pivotField>
    <pivotField showAll="0"/>
    <pivotField showAll="0"/>
    <pivotField dataField="1" showAll="0"/>
    <pivotField showAll="0"/>
    <pivotField showAll="0">
      <items count="5">
        <item x="0"/>
        <item x="1"/>
        <item x="2"/>
        <item x="3"/>
        <item t="default"/>
      </items>
    </pivotField>
    <pivotField showAll="0"/>
    <pivotField showAll="0"/>
    <pivotField showAll="0"/>
    <pivotField showAll="0"/>
  </pivotFields>
  <rowFields count="1">
    <field x="4"/>
  </rowFields>
  <rowItems count="4">
    <i>
      <x/>
    </i>
    <i>
      <x v="1"/>
    </i>
    <i>
      <x v="2"/>
    </i>
    <i t="grand">
      <x/>
    </i>
  </rowItems>
  <colItems count="1">
    <i/>
  </colItems>
  <dataFields count="1">
    <dataField name="Average of Rating" fld="11" subtotal="average" baseField="4"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EDD8DEF-5C53-4D01-BE38-2E91281E1E7A}"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79:B90" firstHeaderRow="1" firstDataRow="1" firstDataCol="1"/>
  <pivotFields count="18">
    <pivotField axis="axisRow" showAll="0" measureFilter="1" sortType="descending">
      <items count="110">
        <item x="38"/>
        <item x="11"/>
        <item x="0"/>
        <item x="27"/>
        <item x="31"/>
        <item x="60"/>
        <item x="56"/>
        <item x="9"/>
        <item x="6"/>
        <item x="101"/>
        <item x="79"/>
        <item x="5"/>
        <item x="100"/>
        <item x="91"/>
        <item x="46"/>
        <item x="72"/>
        <item x="65"/>
        <item x="64"/>
        <item x="19"/>
        <item x="73"/>
        <item x="20"/>
        <item x="94"/>
        <item x="12"/>
        <item x="40"/>
        <item x="21"/>
        <item x="57"/>
        <item x="28"/>
        <item x="34"/>
        <item x="33"/>
        <item x="78"/>
        <item x="59"/>
        <item x="106"/>
        <item x="90"/>
        <item x="44"/>
        <item x="75"/>
        <item x="70"/>
        <item x="97"/>
        <item x="99"/>
        <item x="66"/>
        <item x="55"/>
        <item x="15"/>
        <item x="63"/>
        <item x="96"/>
        <item x="81"/>
        <item x="77"/>
        <item x="108"/>
        <item x="48"/>
        <item x="45"/>
        <item x="83"/>
        <item x="103"/>
        <item x="43"/>
        <item x="54"/>
        <item x="36"/>
        <item x="47"/>
        <item x="74"/>
        <item x="52"/>
        <item x="7"/>
        <item x="35"/>
        <item x="71"/>
        <item x="25"/>
        <item x="30"/>
        <item x="23"/>
        <item x="10"/>
        <item x="80"/>
        <item x="61"/>
        <item x="98"/>
        <item x="67"/>
        <item x="24"/>
        <item x="17"/>
        <item x="13"/>
        <item x="8"/>
        <item x="39"/>
        <item x="32"/>
        <item x="22"/>
        <item x="102"/>
        <item x="18"/>
        <item x="76"/>
        <item x="1"/>
        <item x="95"/>
        <item x="41"/>
        <item x="14"/>
        <item x="86"/>
        <item x="29"/>
        <item x="51"/>
        <item x="58"/>
        <item x="82"/>
        <item x="84"/>
        <item x="16"/>
        <item x="49"/>
        <item x="50"/>
        <item x="4"/>
        <item x="2"/>
        <item x="93"/>
        <item x="26"/>
        <item x="88"/>
        <item x="37"/>
        <item x="89"/>
        <item x="42"/>
        <item x="104"/>
        <item x="53"/>
        <item x="105"/>
        <item x="62"/>
        <item x="87"/>
        <item x="92"/>
        <item x="107"/>
        <item x="85"/>
        <item x="68"/>
        <item x="3"/>
        <item x="69"/>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pivotField showAll="0">
      <items count="4">
        <item x="1"/>
        <item x="2"/>
        <item x="0"/>
        <item t="default"/>
      </items>
    </pivotField>
    <pivotField numFmtId="165" showAll="0"/>
    <pivotField dataField="1" numFmtId="9" showAll="0"/>
    <pivotField showAll="0"/>
    <pivotField showAll="0">
      <items count="4">
        <item x="1"/>
        <item x="2"/>
        <item x="0"/>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s>
  <rowFields count="1">
    <field x="0"/>
  </rowFields>
  <rowItems count="11">
    <i>
      <x v="88"/>
    </i>
    <i>
      <x v="84"/>
    </i>
    <i>
      <x v="70"/>
    </i>
    <i>
      <x v="64"/>
    </i>
    <i>
      <x v="67"/>
    </i>
    <i>
      <x v="5"/>
    </i>
    <i>
      <x v="52"/>
    </i>
    <i>
      <x v="20"/>
    </i>
    <i>
      <x v="41"/>
    </i>
    <i>
      <x v="60"/>
    </i>
    <i t="grand">
      <x/>
    </i>
  </rowItems>
  <colItems count="1">
    <i/>
  </colItems>
  <dataFields count="1">
    <dataField name="Average of Discount" fld="6" subtotal="average" baseField="0" baseItem="39" numFmtId="9"/>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FFB4720E-33AA-4C62-9379-5A1DB858763D}" sourceName="Price Category">
  <pivotTables>
    <pivotTable tabId="13" name="PivotTable3"/>
    <pivotTable tabId="13" name="PivotTable1"/>
    <pivotTable tabId="13" name="PivotTable11"/>
    <pivotTable tabId="13" name="PivotTable12"/>
    <pivotTable tabId="13" name="PivotTable13"/>
    <pivotTable tabId="13" name="PivotTable14"/>
    <pivotTable tabId="13" name="PivotTable15"/>
    <pivotTable tabId="13" name="PivotTable2"/>
    <pivotTable tabId="13" name="PivotTable4"/>
    <pivotTable tabId="13" name="PivotTable5"/>
    <pivotTable tabId="13" name="PivotTable6"/>
    <pivotTable tabId="13" name="PivotTable7"/>
    <pivotTable tabId="13" name="PivotTable8"/>
    <pivotTable tabId="13" name="PivotTable9"/>
  </pivotTables>
  <data>
    <tabular pivotCacheId="45686396">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1EF76A8E-781C-4B9B-A3DF-C7DFCD9993D3}" sourceName="Discount Category">
  <pivotTables>
    <pivotTable tabId="13" name="PivotTable3"/>
    <pivotTable tabId="13" name="PivotTable1"/>
    <pivotTable tabId="13" name="PivotTable11"/>
    <pivotTable tabId="13" name="PivotTable12"/>
    <pivotTable tabId="13" name="PivotTable13"/>
    <pivotTable tabId="13" name="PivotTable14"/>
    <pivotTable tabId="13" name="PivotTable15"/>
    <pivotTable tabId="13" name="PivotTable2"/>
    <pivotTable tabId="13" name="PivotTable4"/>
    <pivotTable tabId="13" name="PivotTable5"/>
    <pivotTable tabId="13" name="PivotTable6"/>
    <pivotTable tabId="13" name="PivotTable7"/>
    <pivotTable tabId="13" name="PivotTable8"/>
    <pivotTable tabId="13" name="PivotTable9"/>
  </pivotTables>
  <data>
    <tabular pivotCacheId="45686396">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396EE8BF-7B5A-4231-8A10-184EEEE4A0FE}" sourceName="Rating Category">
  <pivotTables>
    <pivotTable tabId="13" name="PivotTable3"/>
    <pivotTable tabId="13" name="PivotTable1"/>
    <pivotTable tabId="13" name="PivotTable11"/>
    <pivotTable tabId="13" name="PivotTable12"/>
    <pivotTable tabId="13" name="PivotTable13"/>
    <pivotTable tabId="13" name="PivotTable14"/>
    <pivotTable tabId="13" name="PivotTable15"/>
    <pivotTable tabId="13" name="PivotTable2"/>
    <pivotTable tabId="13" name="PivotTable4"/>
    <pivotTable tabId="13" name="PivotTable5"/>
    <pivotTable tabId="13" name="PivotTable6"/>
    <pivotTable tabId="13" name="PivotTable7"/>
    <pivotTable tabId="13" name="PivotTable8"/>
    <pivotTable tabId="13" name="PivotTable9"/>
  </pivotTables>
  <data>
    <tabular pivotCacheId="4568639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xr10:uid="{21B243B5-1CFF-4D75-8794-CBDAD6B7AB33}" cache="Slicer_Price_Category" caption="Price Category" rowHeight="251883"/>
  <slicer name="Discount Category" xr10:uid="{362D2489-E2B2-48BE-BBB7-5685A60121D7}" cache="Slicer_Discount_Category" caption="Discount Category" rowHeight="251883"/>
  <slicer name="Rating Category" xr10:uid="{4566D4CA-BABE-409E-BB37-EC14448CF1A0}" cache="Slicer_Rating_Category" caption="Rating Category"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1" xr10:uid="{C084AC16-4F09-4BD6-AF8A-A264921AE990}" cache="Slicer_Price_Category" caption="Price Category" rowHeight="251883"/>
  <slicer name="Discount Category 1" xr10:uid="{F2E03BE9-F554-4DC5-81B3-51BF8A5AB127}" cache="Slicer_Discount_Category" caption="Discount Category" rowHeight="251883"/>
  <slicer name="Rating Category 1" xr10:uid="{C633B7F4-6718-4967-BB35-663047634EBE}" cache="Slicer_Rating_Category" caption="Rating 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711AE2-B119-46BE-9D96-D147FED77E2E}" name="tblProducts" displayName="tblProducts" ref="A1:R113" totalsRowShown="0">
  <autoFilter ref="A1:R113" xr:uid="{5E711AE2-B119-46BE-9D96-D147FED77E2E}">
    <filterColumn colId="9">
      <filters blank="1"/>
    </filterColumn>
  </autoFilter>
  <tableColumns count="18">
    <tableColumn id="1" xr3:uid="{C5A6268A-80F0-41CD-BE86-88652ABFB6A5}" name="Product" dataDxfId="17"/>
    <tableColumn id="2" xr3:uid="{87D8021E-1E9D-44C3-A3AC-DAE143015FD8}" name="Current Price" dataDxfId="16"/>
    <tableColumn id="3" xr3:uid="{6023CB05-07BB-45E4-8C6A-7A5EDA708E71}" name="Old  Price" dataDxfId="15" dataCellStyle="Currency"/>
    <tableColumn id="4" xr3:uid="{AC938BE0-A87B-4ED3-B94C-C3AF078A379E}" name="prices Check" dataDxfId="14" dataCellStyle="Currency">
      <calculatedColumnFormula>IF(B2&gt;C2,"Check prices","OK")</calculatedColumnFormula>
    </tableColumn>
    <tableColumn id="13" xr3:uid="{95740DDC-D5A1-40DD-9B08-23F7BDF2C0B2}" name="Price Category" dataDxfId="13" dataCellStyle="Currency">
      <calculatedColumnFormula>IF(B2="","Missing",IF(B2&gt;Price_Q3,"High Price",IF(B2&gt;Price_Q1,"Medium Price","Low Price")))</calculatedColumnFormula>
    </tableColumn>
    <tableColumn id="5" xr3:uid="{3739AD24-BD12-45AE-9731-5C48876F1D1B}" name="Discount Amount " dataDxfId="12">
      <calculatedColumnFormula>C2-B2</calculatedColumnFormula>
    </tableColumn>
    <tableColumn id="6" xr3:uid="{9C3322BF-2CCB-4C3F-A926-DB29CEBC7A3D}" name="Discount" dataDxfId="11" dataCellStyle="Percent"/>
    <tableColumn id="7" xr3:uid="{29912E98-5496-427B-AD3F-ED569396170D}" name="Discount Check" dataDxfId="10" dataCellStyle="Percent">
      <calculatedColumnFormula>IF(OR(G2&lt;0,G2&gt;1),"Check the discount","OK")</calculatedColumnFormula>
    </tableColumn>
    <tableColumn id="8" xr3:uid="{4B26D9D6-6D7E-4943-901B-E457A4FAB8FC}" name="Discount Category" dataDxfId="9" dataCellStyle="Percent">
      <calculatedColumnFormula>IF(G2="","Missing",IF(G2&lt;20%,"Low Discount",IF(G2&lt;=40%,"Medium Discount","High Discount")))</calculatedColumnFormula>
    </tableColumn>
    <tableColumn id="9" xr3:uid="{470BF690-EB7A-4F71-998E-5E24E8CBAE14}" name="Review" dataDxfId="8"/>
    <tableColumn id="23" xr3:uid="{51BE2E7C-A782-4194-B237-AF505DB5FBA6}" name="Review Engagement Flag" dataDxfId="7">
      <calculatedColumnFormula>IF(tblProducts[[#This Row],[Review]]="","Missing Entry",IF(tblProducts[[#This Row],[Review]]&gt;=Review_Q3, "Strong  Customer Engagement","Low Customer Engagement"))</calculatedColumnFormula>
    </tableColumn>
    <tableColumn id="10" xr3:uid="{DDA07F55-9A10-40A6-AD1C-708802299B1A}" name="Rating" dataDxfId="6"/>
    <tableColumn id="20" xr3:uid="{F52A52F8-371E-4907-9A26-928E4900D1B0}" name="Rating flag" dataDxfId="5">
      <calculatedColumnFormula>IF(L2="","Missing Entry",IF(OR(L2&lt;0,L2&gt;5),"Check the rating","OK"))</calculatedColumnFormula>
    </tableColumn>
    <tableColumn id="12" xr3:uid="{6B9C697A-1AA1-4DB9-B8F5-9CF03CD8D0F0}" name="Rating Category" dataDxfId="4">
      <calculatedColumnFormula>IF(L2="","Missing",IF(L2&lt;3,"Poor",IF(L2&lt;=4.5,"Average","Excellent")))</calculatedColumnFormula>
    </tableColumn>
    <tableColumn id="16" xr3:uid="{2A1D3193-7633-458A-9665-6E06F53066BC}" name="high discount and low rating flag" dataDxfId="3">
      <calculatedColumnFormula>IF(OR(tblProducts[[#This Row],[Discount]]="",tblProducts[[#This Row],[Rating]]=""),"Missing Entry",IF(AND(tblProducts[[#This Row],[Discount]]&gt;=40%,tblProducts[[#This Row],[Rating]]&lt;3),"High Discount + Low Rating","Doesn't meet Criteria"))</calculatedColumnFormula>
    </tableColumn>
    <tableColumn id="17" xr3:uid="{215AF10B-2FFE-4338-B8E8-85B2057E3AD0}" name="high discount and low Review engagement;" dataDxfId="2">
      <calculatedColumnFormula>IF(OR(tblProducts[[#This Row],[Review]]="",tblProducts[[#This Row],[Discount]]=""),"Missing Entry",IF(AND(tblProducts[[#This Row],[Discount]]&gt;=40%,tblProducts[[#This Row],[Review]]&lt;15),"High Discount + Low Engagement","Doesn't meet Criteria"))</calculatedColumnFormula>
    </tableColumn>
    <tableColumn id="24" xr3:uid="{13CC5C79-C578-492B-A419-8BCD95ABCDDD}" name=" Many reviews and Average Rating" dataDxfId="1">
      <calculatedColumnFormula>IF(OR(tblProducts[[#This Row],[Review]]="",tblProducts[[#This Row],[Rating]]=""),"Missing Entry",IF(AND(tblProducts[[#This Row],[Review]]&gt;=15,tblProducts[[#This Row],[Rating]]&gt;=3,tblProducts[[#This Row],[Rating]]&lt;=4.5),"Many Reviews + Average Rating","Doesn't meet Criteria"))</calculatedColumnFormula>
    </tableColumn>
    <tableColumn id="19" xr3:uid="{DFD3775B-FEFF-423E-A375-6FCA3EC05553}" name="strong review engagement and excellent rating." dataDxfId="0">
      <calculatedColumnFormula>IF(OR(tblProducts[[#This Row],[Review]]="",tblProducts[[#This Row],[Rating]]=""),"Missing Entry",IF(AND(tblProducts[[#This Row],[Review]]&gt;=15,tblProducts[[#This Row],[Rating]]&gt;4.5),"Strong Engagement + Excellent Rating","Doesn't meet criteria"))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2.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059F2-87C8-4874-856B-E7D78771463B}">
  <dimension ref="A1:F116"/>
  <sheetViews>
    <sheetView topLeftCell="A109" workbookViewId="0">
      <selection activeCell="F114" sqref="F114"/>
    </sheetView>
  </sheetViews>
  <sheetFormatPr defaultRowHeight="14.5" x14ac:dyDescent="0.35"/>
  <cols>
    <col min="2" max="2" width="21.36328125" customWidth="1"/>
    <col min="3" max="3" width="20.453125" customWidth="1"/>
  </cols>
  <sheetData>
    <row r="1" spans="1:6" x14ac:dyDescent="0.35">
      <c r="A1" t="s">
        <v>0</v>
      </c>
      <c r="B1" t="s">
        <v>1</v>
      </c>
      <c r="C1" t="s">
        <v>2</v>
      </c>
      <c r="D1" t="s">
        <v>3</v>
      </c>
      <c r="E1" t="s">
        <v>4</v>
      </c>
      <c r="F1" t="s">
        <v>5</v>
      </c>
    </row>
    <row r="2" spans="1:6" x14ac:dyDescent="0.35">
      <c r="A2" t="s">
        <v>6</v>
      </c>
      <c r="B2" t="s">
        <v>7</v>
      </c>
      <c r="C2" t="s">
        <v>8</v>
      </c>
      <c r="D2" s="1">
        <v>0.38</v>
      </c>
      <c r="E2">
        <v>-2</v>
      </c>
      <c r="F2" t="s">
        <v>9</v>
      </c>
    </row>
    <row r="3" spans="1:6" x14ac:dyDescent="0.35">
      <c r="A3" t="s">
        <v>10</v>
      </c>
      <c r="B3" t="s">
        <v>11</v>
      </c>
      <c r="C3" t="s">
        <v>12</v>
      </c>
      <c r="D3" s="1">
        <v>0.47</v>
      </c>
      <c r="E3">
        <v>-14</v>
      </c>
      <c r="F3" t="s">
        <v>13</v>
      </c>
    </row>
    <row r="4" spans="1:6" x14ac:dyDescent="0.35">
      <c r="A4" t="s">
        <v>14</v>
      </c>
      <c r="B4" t="s">
        <v>15</v>
      </c>
      <c r="C4" t="s">
        <v>16</v>
      </c>
      <c r="D4" s="1">
        <v>0.25</v>
      </c>
      <c r="E4">
        <v>-24</v>
      </c>
      <c r="F4" t="s">
        <v>17</v>
      </c>
    </row>
    <row r="5" spans="1:6" x14ac:dyDescent="0.35">
      <c r="A5" t="s">
        <v>18</v>
      </c>
      <c r="B5" t="s">
        <v>19</v>
      </c>
      <c r="C5" t="s">
        <v>20</v>
      </c>
      <c r="D5" s="1">
        <v>0.37</v>
      </c>
      <c r="E5">
        <v>-7</v>
      </c>
      <c r="F5" t="s">
        <v>21</v>
      </c>
    </row>
    <row r="6" spans="1:6" x14ac:dyDescent="0.35">
      <c r="A6" t="s">
        <v>22</v>
      </c>
      <c r="B6" t="s">
        <v>23</v>
      </c>
      <c r="C6" t="s">
        <v>24</v>
      </c>
      <c r="D6" s="1">
        <v>0.26</v>
      </c>
      <c r="E6">
        <v>-5</v>
      </c>
      <c r="F6" t="s">
        <v>25</v>
      </c>
    </row>
    <row r="7" spans="1:6" x14ac:dyDescent="0.35">
      <c r="A7" t="s">
        <v>26</v>
      </c>
      <c r="B7" t="s">
        <v>27</v>
      </c>
      <c r="C7" t="s">
        <v>28</v>
      </c>
      <c r="D7" s="1">
        <v>0.09</v>
      </c>
      <c r="E7">
        <v>-15</v>
      </c>
      <c r="F7" t="s">
        <v>29</v>
      </c>
    </row>
    <row r="8" spans="1:6" x14ac:dyDescent="0.35">
      <c r="A8" t="s">
        <v>30</v>
      </c>
      <c r="B8" t="s">
        <v>31</v>
      </c>
      <c r="C8" t="s">
        <v>32</v>
      </c>
      <c r="D8" s="1">
        <v>0.24</v>
      </c>
      <c r="E8">
        <v>-55</v>
      </c>
      <c r="F8" t="s">
        <v>17</v>
      </c>
    </row>
    <row r="9" spans="1:6" x14ac:dyDescent="0.35">
      <c r="A9" t="s">
        <v>33</v>
      </c>
      <c r="B9" t="s">
        <v>34</v>
      </c>
      <c r="C9" t="s">
        <v>19</v>
      </c>
      <c r="D9" s="1">
        <v>0.37</v>
      </c>
      <c r="E9">
        <v>-2</v>
      </c>
      <c r="F9" t="s">
        <v>29</v>
      </c>
    </row>
    <row r="10" spans="1:6" x14ac:dyDescent="0.35">
      <c r="A10" t="s">
        <v>35</v>
      </c>
      <c r="B10" t="s">
        <v>36</v>
      </c>
      <c r="C10" t="s">
        <v>37</v>
      </c>
      <c r="D10" s="1">
        <v>0.55000000000000004</v>
      </c>
      <c r="E10">
        <v>-5</v>
      </c>
      <c r="F10" t="s">
        <v>25</v>
      </c>
    </row>
    <row r="11" spans="1:6" x14ac:dyDescent="0.35">
      <c r="A11" t="s">
        <v>38</v>
      </c>
      <c r="B11" t="s">
        <v>39</v>
      </c>
      <c r="C11" t="s">
        <v>40</v>
      </c>
      <c r="D11" s="1">
        <v>0.45</v>
      </c>
      <c r="E11">
        <v>-5</v>
      </c>
      <c r="F11" t="s">
        <v>41</v>
      </c>
    </row>
    <row r="12" spans="1:6" x14ac:dyDescent="0.35">
      <c r="A12" t="s">
        <v>42</v>
      </c>
      <c r="B12" t="s">
        <v>43</v>
      </c>
      <c r="C12" t="s">
        <v>12</v>
      </c>
      <c r="D12" s="1">
        <v>0.2</v>
      </c>
      <c r="E12">
        <v>-12</v>
      </c>
      <c r="F12" t="s">
        <v>13</v>
      </c>
    </row>
    <row r="13" spans="1:6" x14ac:dyDescent="0.35">
      <c r="A13" t="s">
        <v>44</v>
      </c>
      <c r="B13" t="s">
        <v>45</v>
      </c>
      <c r="C13" t="s">
        <v>46</v>
      </c>
      <c r="D13" s="1">
        <v>0.34</v>
      </c>
      <c r="E13">
        <v>-39</v>
      </c>
      <c r="F13" t="s">
        <v>21</v>
      </c>
    </row>
    <row r="14" spans="1:6" x14ac:dyDescent="0.35">
      <c r="A14" t="s">
        <v>47</v>
      </c>
      <c r="B14" t="s">
        <v>48</v>
      </c>
      <c r="C14" t="s">
        <v>49</v>
      </c>
      <c r="D14" s="1">
        <v>0.47</v>
      </c>
      <c r="E14">
        <v>-12</v>
      </c>
      <c r="F14" t="s">
        <v>25</v>
      </c>
    </row>
    <row r="15" spans="1:6" x14ac:dyDescent="0.35">
      <c r="A15" t="s">
        <v>50</v>
      </c>
      <c r="B15" t="s">
        <v>51</v>
      </c>
      <c r="C15" t="s">
        <v>52</v>
      </c>
      <c r="D15" s="1">
        <v>0.42</v>
      </c>
      <c r="E15">
        <v>-6</v>
      </c>
      <c r="F15" t="s">
        <v>9</v>
      </c>
    </row>
    <row r="16" spans="1:6" x14ac:dyDescent="0.35">
      <c r="A16" t="s">
        <v>53</v>
      </c>
      <c r="B16" t="s">
        <v>54</v>
      </c>
      <c r="C16" t="s">
        <v>20</v>
      </c>
      <c r="D16" s="1">
        <v>0.33</v>
      </c>
      <c r="E16">
        <v>-9</v>
      </c>
      <c r="F16" t="s">
        <v>55</v>
      </c>
    </row>
    <row r="17" spans="1:6" x14ac:dyDescent="0.35">
      <c r="A17" t="s">
        <v>56</v>
      </c>
      <c r="B17" t="s">
        <v>57</v>
      </c>
      <c r="C17" t="s">
        <v>58</v>
      </c>
      <c r="D17" s="1">
        <v>0.51</v>
      </c>
      <c r="E17">
        <v>-2</v>
      </c>
      <c r="F17" t="s">
        <v>59</v>
      </c>
    </row>
    <row r="18" spans="1:6" x14ac:dyDescent="0.35">
      <c r="A18" t="s">
        <v>60</v>
      </c>
      <c r="B18" t="s">
        <v>61</v>
      </c>
      <c r="C18" t="s">
        <v>62</v>
      </c>
      <c r="D18" s="1">
        <v>0.46</v>
      </c>
      <c r="E18">
        <v>-2</v>
      </c>
      <c r="F18" t="s">
        <v>59</v>
      </c>
    </row>
    <row r="19" spans="1:6" x14ac:dyDescent="0.35">
      <c r="A19" t="s">
        <v>63</v>
      </c>
      <c r="B19" t="s">
        <v>64</v>
      </c>
      <c r="C19" t="s">
        <v>65</v>
      </c>
      <c r="D19" s="1">
        <v>0.49</v>
      </c>
      <c r="E19">
        <v>-3</v>
      </c>
      <c r="F19" t="s">
        <v>59</v>
      </c>
    </row>
    <row r="20" spans="1:6" x14ac:dyDescent="0.35">
      <c r="A20" t="s">
        <v>66</v>
      </c>
      <c r="B20" t="s">
        <v>27</v>
      </c>
      <c r="C20" t="s">
        <v>67</v>
      </c>
      <c r="D20" s="1">
        <v>0.19</v>
      </c>
      <c r="E20">
        <v>-5</v>
      </c>
      <c r="F20" t="s">
        <v>17</v>
      </c>
    </row>
    <row r="21" spans="1:6" x14ac:dyDescent="0.35">
      <c r="A21" t="s">
        <v>68</v>
      </c>
      <c r="B21" t="s">
        <v>69</v>
      </c>
      <c r="C21" t="s">
        <v>70</v>
      </c>
      <c r="D21" s="1">
        <v>0.49</v>
      </c>
      <c r="E21">
        <v>-44</v>
      </c>
      <c r="F21" t="s">
        <v>17</v>
      </c>
    </row>
    <row r="22" spans="1:6" x14ac:dyDescent="0.35">
      <c r="A22" t="s">
        <v>71</v>
      </c>
      <c r="B22" t="s">
        <v>72</v>
      </c>
      <c r="C22" t="s">
        <v>73</v>
      </c>
      <c r="D22" s="1">
        <v>0.53</v>
      </c>
      <c r="E22">
        <v>-13</v>
      </c>
      <c r="F22" t="s">
        <v>74</v>
      </c>
    </row>
    <row r="23" spans="1:6" x14ac:dyDescent="0.35">
      <c r="A23" t="s">
        <v>75</v>
      </c>
      <c r="B23" t="s">
        <v>76</v>
      </c>
      <c r="C23" t="s">
        <v>77</v>
      </c>
      <c r="D23" s="1">
        <v>0.42</v>
      </c>
    </row>
    <row r="24" spans="1:6" x14ac:dyDescent="0.35">
      <c r="A24" t="s">
        <v>78</v>
      </c>
      <c r="B24" t="s">
        <v>79</v>
      </c>
      <c r="C24" t="s">
        <v>80</v>
      </c>
      <c r="D24" s="1">
        <v>0.35</v>
      </c>
      <c r="E24">
        <v>-6</v>
      </c>
      <c r="F24" t="s">
        <v>29</v>
      </c>
    </row>
    <row r="25" spans="1:6" x14ac:dyDescent="0.35">
      <c r="A25" t="s">
        <v>81</v>
      </c>
      <c r="B25" t="s">
        <v>82</v>
      </c>
      <c r="C25" t="s">
        <v>83</v>
      </c>
      <c r="D25" s="1">
        <v>0.23</v>
      </c>
      <c r="E25">
        <v>-14</v>
      </c>
      <c r="F25" t="s">
        <v>84</v>
      </c>
    </row>
    <row r="26" spans="1:6" x14ac:dyDescent="0.35">
      <c r="A26" t="s">
        <v>85</v>
      </c>
      <c r="B26" t="s">
        <v>86</v>
      </c>
      <c r="C26" t="s">
        <v>87</v>
      </c>
      <c r="D26" s="1">
        <v>0.54</v>
      </c>
      <c r="E26">
        <v>-7</v>
      </c>
      <c r="F26" t="s">
        <v>88</v>
      </c>
    </row>
    <row r="27" spans="1:6" x14ac:dyDescent="0.35">
      <c r="A27" t="s">
        <v>89</v>
      </c>
      <c r="B27" t="s">
        <v>90</v>
      </c>
      <c r="C27" t="s">
        <v>91</v>
      </c>
      <c r="D27" s="1">
        <v>0.35</v>
      </c>
      <c r="E27">
        <v>-49</v>
      </c>
      <c r="F27" t="s">
        <v>17</v>
      </c>
    </row>
    <row r="28" spans="1:6" x14ac:dyDescent="0.35">
      <c r="A28" t="s">
        <v>92</v>
      </c>
      <c r="B28" t="s">
        <v>93</v>
      </c>
      <c r="C28" t="s">
        <v>94</v>
      </c>
      <c r="D28" s="1">
        <v>0.18</v>
      </c>
      <c r="E28">
        <v>-12</v>
      </c>
      <c r="F28" t="s">
        <v>41</v>
      </c>
    </row>
    <row r="29" spans="1:6" x14ac:dyDescent="0.35">
      <c r="A29" t="s">
        <v>95</v>
      </c>
      <c r="B29" t="s">
        <v>80</v>
      </c>
      <c r="C29" t="s">
        <v>96</v>
      </c>
      <c r="D29" s="1">
        <v>0.32</v>
      </c>
      <c r="E29">
        <v>-13</v>
      </c>
      <c r="F29" t="s">
        <v>41</v>
      </c>
    </row>
    <row r="30" spans="1:6" x14ac:dyDescent="0.35">
      <c r="A30" t="s">
        <v>97</v>
      </c>
      <c r="B30" t="s">
        <v>98</v>
      </c>
      <c r="C30" t="s">
        <v>20</v>
      </c>
      <c r="D30" s="1">
        <v>0.3</v>
      </c>
      <c r="E30">
        <v>-20</v>
      </c>
      <c r="F30" t="s">
        <v>13</v>
      </c>
    </row>
    <row r="31" spans="1:6" x14ac:dyDescent="0.35">
      <c r="A31" t="s">
        <v>99</v>
      </c>
      <c r="B31" t="s">
        <v>100</v>
      </c>
      <c r="C31" t="s">
        <v>101</v>
      </c>
      <c r="D31" s="1">
        <v>0.46</v>
      </c>
    </row>
    <row r="32" spans="1:6" x14ac:dyDescent="0.35">
      <c r="A32" t="s">
        <v>102</v>
      </c>
      <c r="B32" t="s">
        <v>103</v>
      </c>
      <c r="C32" t="s">
        <v>104</v>
      </c>
      <c r="D32" s="1">
        <v>0.52</v>
      </c>
      <c r="E32">
        <v>-9</v>
      </c>
      <c r="F32" t="s">
        <v>88</v>
      </c>
    </row>
    <row r="33" spans="1:6" x14ac:dyDescent="0.35">
      <c r="A33" t="s">
        <v>105</v>
      </c>
      <c r="B33" t="s">
        <v>106</v>
      </c>
      <c r="C33" t="s">
        <v>107</v>
      </c>
      <c r="D33" s="1">
        <v>0.34</v>
      </c>
      <c r="E33">
        <v>-12</v>
      </c>
      <c r="F33" t="s">
        <v>21</v>
      </c>
    </row>
    <row r="34" spans="1:6" x14ac:dyDescent="0.35">
      <c r="A34" t="s">
        <v>108</v>
      </c>
      <c r="B34" t="s">
        <v>109</v>
      </c>
      <c r="C34" t="s">
        <v>110</v>
      </c>
      <c r="D34" s="1">
        <v>0.48</v>
      </c>
      <c r="E34">
        <v>-9</v>
      </c>
      <c r="F34" t="s">
        <v>88</v>
      </c>
    </row>
    <row r="35" spans="1:6" x14ac:dyDescent="0.35">
      <c r="A35" t="s">
        <v>111</v>
      </c>
      <c r="B35" t="s">
        <v>112</v>
      </c>
      <c r="C35" t="s">
        <v>113</v>
      </c>
      <c r="D35" s="1">
        <v>0.27</v>
      </c>
      <c r="E35">
        <v>-20</v>
      </c>
      <c r="F35" t="s">
        <v>21</v>
      </c>
    </row>
    <row r="36" spans="1:6" x14ac:dyDescent="0.35">
      <c r="A36" t="s">
        <v>114</v>
      </c>
      <c r="B36" t="s">
        <v>115</v>
      </c>
      <c r="C36" t="s">
        <v>116</v>
      </c>
      <c r="D36" s="1">
        <v>0.27</v>
      </c>
      <c r="E36">
        <v>-32</v>
      </c>
      <c r="F36" t="s">
        <v>9</v>
      </c>
    </row>
    <row r="37" spans="1:6" x14ac:dyDescent="0.35">
      <c r="A37" t="s">
        <v>117</v>
      </c>
      <c r="B37" t="s">
        <v>118</v>
      </c>
      <c r="C37" t="s">
        <v>119</v>
      </c>
      <c r="D37" s="1">
        <v>0.4</v>
      </c>
      <c r="E37">
        <v>-1</v>
      </c>
      <c r="F37" t="s">
        <v>59</v>
      </c>
    </row>
    <row r="38" spans="1:6" x14ac:dyDescent="0.35">
      <c r="A38" t="s">
        <v>120</v>
      </c>
      <c r="B38" t="s">
        <v>121</v>
      </c>
      <c r="C38" t="s">
        <v>62</v>
      </c>
      <c r="D38" s="1">
        <v>0.53</v>
      </c>
      <c r="E38">
        <v>-2</v>
      </c>
      <c r="F38" t="s">
        <v>59</v>
      </c>
    </row>
    <row r="39" spans="1:6" x14ac:dyDescent="0.35">
      <c r="A39" t="s">
        <v>122</v>
      </c>
      <c r="B39" t="s">
        <v>123</v>
      </c>
      <c r="C39" t="s">
        <v>124</v>
      </c>
      <c r="D39" s="1">
        <v>0.41</v>
      </c>
      <c r="E39">
        <v>-36</v>
      </c>
      <c r="F39" t="s">
        <v>88</v>
      </c>
    </row>
    <row r="40" spans="1:6" x14ac:dyDescent="0.35">
      <c r="A40" t="s">
        <v>125</v>
      </c>
      <c r="B40" t="s">
        <v>126</v>
      </c>
      <c r="C40" t="s">
        <v>127</v>
      </c>
      <c r="D40" s="1">
        <v>0.38</v>
      </c>
      <c r="E40">
        <v>-2</v>
      </c>
      <c r="F40" t="s">
        <v>9</v>
      </c>
    </row>
    <row r="41" spans="1:6" x14ac:dyDescent="0.35">
      <c r="A41" t="s">
        <v>128</v>
      </c>
      <c r="B41" t="s">
        <v>129</v>
      </c>
      <c r="C41" t="s">
        <v>130</v>
      </c>
      <c r="D41" s="1">
        <v>0.38</v>
      </c>
    </row>
    <row r="42" spans="1:6" x14ac:dyDescent="0.35">
      <c r="A42" t="s">
        <v>131</v>
      </c>
      <c r="B42" t="s">
        <v>132</v>
      </c>
      <c r="C42" t="s">
        <v>133</v>
      </c>
      <c r="D42" s="1">
        <v>0.49</v>
      </c>
    </row>
    <row r="43" spans="1:6" x14ac:dyDescent="0.35">
      <c r="A43" t="s">
        <v>134</v>
      </c>
      <c r="B43" t="s">
        <v>135</v>
      </c>
      <c r="C43" t="s">
        <v>136</v>
      </c>
      <c r="D43" s="1">
        <v>0.5</v>
      </c>
    </row>
    <row r="44" spans="1:6" x14ac:dyDescent="0.35">
      <c r="A44" t="s">
        <v>137</v>
      </c>
      <c r="B44" t="s">
        <v>138</v>
      </c>
      <c r="C44" t="s">
        <v>139</v>
      </c>
      <c r="D44" s="1">
        <v>0.42</v>
      </c>
    </row>
    <row r="45" spans="1:6" x14ac:dyDescent="0.35">
      <c r="A45" t="s">
        <v>137</v>
      </c>
      <c r="B45" t="s">
        <v>138</v>
      </c>
      <c r="C45" t="s">
        <v>139</v>
      </c>
      <c r="D45" s="1">
        <v>0.42</v>
      </c>
    </row>
    <row r="46" spans="1:6" x14ac:dyDescent="0.35">
      <c r="A46" t="s">
        <v>140</v>
      </c>
      <c r="B46" t="s">
        <v>141</v>
      </c>
      <c r="C46" t="s">
        <v>142</v>
      </c>
      <c r="D46" s="1">
        <v>0.02</v>
      </c>
    </row>
    <row r="47" spans="1:6" x14ac:dyDescent="0.35">
      <c r="A47" t="s">
        <v>143</v>
      </c>
      <c r="B47" t="s">
        <v>12</v>
      </c>
      <c r="C47" t="s">
        <v>144</v>
      </c>
      <c r="D47" s="1">
        <v>0.5</v>
      </c>
    </row>
    <row r="48" spans="1:6" x14ac:dyDescent="0.35">
      <c r="A48" t="s">
        <v>145</v>
      </c>
      <c r="B48" t="s">
        <v>146</v>
      </c>
      <c r="C48" t="s">
        <v>147</v>
      </c>
      <c r="D48" s="1">
        <v>0.33</v>
      </c>
    </row>
    <row r="49" spans="1:6" x14ac:dyDescent="0.35">
      <c r="A49" t="s">
        <v>148</v>
      </c>
      <c r="B49" t="s">
        <v>149</v>
      </c>
      <c r="C49" t="s">
        <v>150</v>
      </c>
      <c r="D49" s="1">
        <v>0.49</v>
      </c>
    </row>
    <row r="50" spans="1:6" x14ac:dyDescent="0.35">
      <c r="A50" t="s">
        <v>151</v>
      </c>
      <c r="B50" t="s">
        <v>152</v>
      </c>
      <c r="C50" t="s">
        <v>153</v>
      </c>
      <c r="D50" s="1">
        <v>0.38</v>
      </c>
    </row>
    <row r="51" spans="1:6" x14ac:dyDescent="0.35">
      <c r="A51" t="s">
        <v>154</v>
      </c>
      <c r="B51" t="s">
        <v>155</v>
      </c>
      <c r="C51" t="s">
        <v>156</v>
      </c>
      <c r="D51" s="1">
        <v>0.61</v>
      </c>
    </row>
    <row r="52" spans="1:6" x14ac:dyDescent="0.35">
      <c r="A52" t="s">
        <v>157</v>
      </c>
      <c r="B52" t="s">
        <v>158</v>
      </c>
      <c r="C52" t="s">
        <v>159</v>
      </c>
      <c r="D52" s="1">
        <v>0.5</v>
      </c>
    </row>
    <row r="53" spans="1:6" x14ac:dyDescent="0.35">
      <c r="A53" t="s">
        <v>160</v>
      </c>
      <c r="B53" t="s">
        <v>161</v>
      </c>
      <c r="C53" t="s">
        <v>162</v>
      </c>
      <c r="D53" s="1">
        <v>0.02</v>
      </c>
    </row>
    <row r="54" spans="1:6" x14ac:dyDescent="0.35">
      <c r="A54" t="s">
        <v>163</v>
      </c>
      <c r="B54" t="s">
        <v>158</v>
      </c>
      <c r="C54" t="s">
        <v>164</v>
      </c>
      <c r="D54" s="1">
        <v>0.22</v>
      </c>
    </row>
    <row r="55" spans="1:6" x14ac:dyDescent="0.35">
      <c r="A55" t="s">
        <v>165</v>
      </c>
      <c r="B55" t="s">
        <v>166</v>
      </c>
      <c r="C55" t="s">
        <v>167</v>
      </c>
      <c r="D55" s="1">
        <v>0.03</v>
      </c>
    </row>
    <row r="56" spans="1:6" x14ac:dyDescent="0.35">
      <c r="A56" t="s">
        <v>168</v>
      </c>
      <c r="B56" t="s">
        <v>43</v>
      </c>
      <c r="C56" t="s">
        <v>169</v>
      </c>
      <c r="D56" s="1">
        <v>0.41</v>
      </c>
    </row>
    <row r="57" spans="1:6" x14ac:dyDescent="0.35">
      <c r="A57" t="s">
        <v>170</v>
      </c>
      <c r="B57" t="s">
        <v>171</v>
      </c>
      <c r="C57" t="s">
        <v>172</v>
      </c>
      <c r="D57" s="1">
        <v>0.45</v>
      </c>
    </row>
    <row r="58" spans="1:6" x14ac:dyDescent="0.35">
      <c r="A58" t="s">
        <v>173</v>
      </c>
      <c r="B58" t="s">
        <v>174</v>
      </c>
      <c r="C58" t="s">
        <v>169</v>
      </c>
      <c r="D58" s="1">
        <v>0.48</v>
      </c>
    </row>
    <row r="59" spans="1:6" x14ac:dyDescent="0.35">
      <c r="A59" t="s">
        <v>175</v>
      </c>
      <c r="B59" t="s">
        <v>43</v>
      </c>
      <c r="C59" t="s">
        <v>176</v>
      </c>
      <c r="D59" s="1">
        <v>0.49</v>
      </c>
    </row>
    <row r="60" spans="1:6" x14ac:dyDescent="0.35">
      <c r="A60" t="s">
        <v>177</v>
      </c>
      <c r="B60" t="s">
        <v>178</v>
      </c>
      <c r="C60" t="s">
        <v>179</v>
      </c>
      <c r="D60" s="1">
        <v>0.27</v>
      </c>
    </row>
    <row r="61" spans="1:6" x14ac:dyDescent="0.35">
      <c r="A61" t="s">
        <v>170</v>
      </c>
      <c r="B61" t="s">
        <v>180</v>
      </c>
      <c r="C61" t="s">
        <v>181</v>
      </c>
      <c r="D61" s="1">
        <v>0.55000000000000004</v>
      </c>
    </row>
    <row r="62" spans="1:6" x14ac:dyDescent="0.35">
      <c r="A62" t="s">
        <v>182</v>
      </c>
      <c r="B62" t="s">
        <v>183</v>
      </c>
      <c r="C62" t="s">
        <v>184</v>
      </c>
      <c r="D62" s="1">
        <v>0.13</v>
      </c>
      <c r="E62">
        <v>-6</v>
      </c>
      <c r="F62" t="s">
        <v>185</v>
      </c>
    </row>
    <row r="63" spans="1:6" x14ac:dyDescent="0.35">
      <c r="A63" t="s">
        <v>186</v>
      </c>
      <c r="B63" t="s">
        <v>187</v>
      </c>
      <c r="C63" t="s">
        <v>188</v>
      </c>
      <c r="D63" s="1">
        <v>0.54</v>
      </c>
      <c r="E63">
        <v>-10</v>
      </c>
      <c r="F63" t="s">
        <v>189</v>
      </c>
    </row>
    <row r="64" spans="1:6" x14ac:dyDescent="0.35">
      <c r="A64" t="s">
        <v>190</v>
      </c>
      <c r="B64" t="s">
        <v>191</v>
      </c>
      <c r="C64" t="s">
        <v>192</v>
      </c>
      <c r="D64" s="1">
        <v>0.55000000000000004</v>
      </c>
      <c r="E64">
        <v>-13</v>
      </c>
      <c r="F64" t="s">
        <v>193</v>
      </c>
    </row>
    <row r="65" spans="1:6" x14ac:dyDescent="0.35">
      <c r="A65" t="s">
        <v>194</v>
      </c>
      <c r="B65" t="s">
        <v>195</v>
      </c>
      <c r="C65" t="s">
        <v>196</v>
      </c>
      <c r="D65" s="1">
        <v>0.49</v>
      </c>
      <c r="E65">
        <v>-69</v>
      </c>
      <c r="F65" t="s">
        <v>197</v>
      </c>
    </row>
    <row r="66" spans="1:6" x14ac:dyDescent="0.35">
      <c r="A66" t="s">
        <v>198</v>
      </c>
      <c r="B66" t="s">
        <v>199</v>
      </c>
      <c r="C66" t="s">
        <v>200</v>
      </c>
      <c r="D66" s="1">
        <v>0.52</v>
      </c>
      <c r="E66">
        <v>-15</v>
      </c>
      <c r="F66" t="s">
        <v>201</v>
      </c>
    </row>
    <row r="67" spans="1:6" x14ac:dyDescent="0.35">
      <c r="A67" t="s">
        <v>202</v>
      </c>
      <c r="B67" t="s">
        <v>203</v>
      </c>
      <c r="C67" t="s">
        <v>204</v>
      </c>
      <c r="D67" s="1">
        <v>0.22</v>
      </c>
      <c r="E67">
        <v>-16</v>
      </c>
      <c r="F67" t="s">
        <v>205</v>
      </c>
    </row>
    <row r="68" spans="1:6" x14ac:dyDescent="0.35">
      <c r="A68" t="s">
        <v>206</v>
      </c>
      <c r="B68" t="s">
        <v>45</v>
      </c>
      <c r="C68" t="s">
        <v>207</v>
      </c>
      <c r="D68" s="1">
        <v>0.45</v>
      </c>
      <c r="E68">
        <v>-6</v>
      </c>
      <c r="F68" t="s">
        <v>208</v>
      </c>
    </row>
    <row r="69" spans="1:6" x14ac:dyDescent="0.35">
      <c r="A69" t="s">
        <v>209</v>
      </c>
      <c r="B69" t="s">
        <v>210</v>
      </c>
      <c r="C69" t="s">
        <v>144</v>
      </c>
      <c r="D69" s="1">
        <v>0.5</v>
      </c>
      <c r="E69">
        <v>-7</v>
      </c>
      <c r="F69" t="s">
        <v>211</v>
      </c>
    </row>
    <row r="70" spans="1:6" x14ac:dyDescent="0.35">
      <c r="A70" t="s">
        <v>212</v>
      </c>
      <c r="B70" t="s">
        <v>213</v>
      </c>
      <c r="C70" t="s">
        <v>214</v>
      </c>
      <c r="D70" s="1">
        <v>0.39</v>
      </c>
      <c r="E70">
        <v>-5</v>
      </c>
      <c r="F70" t="s">
        <v>189</v>
      </c>
    </row>
    <row r="71" spans="1:6" x14ac:dyDescent="0.35">
      <c r="A71" t="s">
        <v>215</v>
      </c>
      <c r="B71" t="s">
        <v>104</v>
      </c>
      <c r="C71" t="s">
        <v>216</v>
      </c>
      <c r="D71" s="1">
        <v>0.45</v>
      </c>
      <c r="E71">
        <v>-17</v>
      </c>
      <c r="F71" t="s">
        <v>217</v>
      </c>
    </row>
    <row r="72" spans="1:6" x14ac:dyDescent="0.35">
      <c r="A72" t="s">
        <v>218</v>
      </c>
      <c r="B72" t="s">
        <v>219</v>
      </c>
      <c r="C72" t="s">
        <v>220</v>
      </c>
      <c r="D72" s="1">
        <v>0.28999999999999998</v>
      </c>
      <c r="E72">
        <v>-5</v>
      </c>
      <c r="F72" t="s">
        <v>189</v>
      </c>
    </row>
    <row r="73" spans="1:6" x14ac:dyDescent="0.35">
      <c r="A73" t="s">
        <v>221</v>
      </c>
      <c r="B73" t="s">
        <v>222</v>
      </c>
      <c r="C73" t="s">
        <v>223</v>
      </c>
      <c r="D73" s="1">
        <v>0.43</v>
      </c>
      <c r="E73">
        <v>-6</v>
      </c>
      <c r="F73" t="s">
        <v>211</v>
      </c>
    </row>
    <row r="74" spans="1:6" x14ac:dyDescent="0.35">
      <c r="A74" t="s">
        <v>224</v>
      </c>
      <c r="B74" t="s">
        <v>225</v>
      </c>
      <c r="C74" t="s">
        <v>226</v>
      </c>
      <c r="D74" s="1">
        <v>0.43</v>
      </c>
      <c r="E74">
        <v>-5</v>
      </c>
      <c r="F74" t="s">
        <v>189</v>
      </c>
    </row>
    <row r="75" spans="1:6" x14ac:dyDescent="0.35">
      <c r="A75" t="s">
        <v>227</v>
      </c>
      <c r="B75" t="s">
        <v>228</v>
      </c>
      <c r="C75" t="s">
        <v>207</v>
      </c>
      <c r="D75" s="1">
        <v>0.47</v>
      </c>
      <c r="E75">
        <v>-6</v>
      </c>
      <c r="F75" t="s">
        <v>208</v>
      </c>
    </row>
    <row r="76" spans="1:6" x14ac:dyDescent="0.35">
      <c r="A76" t="s">
        <v>229</v>
      </c>
      <c r="B76" t="s">
        <v>230</v>
      </c>
      <c r="C76" t="s">
        <v>231</v>
      </c>
      <c r="D76" s="1">
        <v>0.47</v>
      </c>
      <c r="E76">
        <v>-7</v>
      </c>
      <c r="F76" t="s">
        <v>193</v>
      </c>
    </row>
    <row r="77" spans="1:6" x14ac:dyDescent="0.35">
      <c r="A77" t="s">
        <v>232</v>
      </c>
      <c r="B77" t="s">
        <v>233</v>
      </c>
      <c r="C77" t="s">
        <v>234</v>
      </c>
      <c r="D77" s="1">
        <v>0.47</v>
      </c>
    </row>
    <row r="78" spans="1:6" x14ac:dyDescent="0.35">
      <c r="A78" t="s">
        <v>235</v>
      </c>
      <c r="B78" t="s">
        <v>236</v>
      </c>
      <c r="C78" t="s">
        <v>152</v>
      </c>
      <c r="D78" s="1">
        <v>0.43</v>
      </c>
    </row>
    <row r="79" spans="1:6" x14ac:dyDescent="0.35">
      <c r="A79" t="s">
        <v>237</v>
      </c>
      <c r="B79" t="s">
        <v>238</v>
      </c>
      <c r="C79" t="s">
        <v>239</v>
      </c>
      <c r="D79" s="1">
        <v>0.04</v>
      </c>
    </row>
    <row r="80" spans="1:6" x14ac:dyDescent="0.35">
      <c r="A80" t="s">
        <v>240</v>
      </c>
      <c r="B80" t="s">
        <v>241</v>
      </c>
      <c r="C80" t="s">
        <v>242</v>
      </c>
      <c r="D80" s="1">
        <v>0.49</v>
      </c>
    </row>
    <row r="81" spans="1:6" x14ac:dyDescent="0.35">
      <c r="A81" t="s">
        <v>243</v>
      </c>
      <c r="B81" t="s">
        <v>244</v>
      </c>
      <c r="C81" t="s">
        <v>15</v>
      </c>
      <c r="D81" s="1">
        <v>0.46</v>
      </c>
      <c r="E81">
        <v>-1</v>
      </c>
      <c r="F81" t="s">
        <v>189</v>
      </c>
    </row>
    <row r="82" spans="1:6" x14ac:dyDescent="0.35">
      <c r="A82" t="s">
        <v>245</v>
      </c>
      <c r="B82" t="s">
        <v>246</v>
      </c>
      <c r="C82" t="s">
        <v>247</v>
      </c>
      <c r="D82" s="1">
        <v>0.49</v>
      </c>
      <c r="E82">
        <v>-1</v>
      </c>
      <c r="F82" t="s">
        <v>59</v>
      </c>
    </row>
    <row r="83" spans="1:6" x14ac:dyDescent="0.35">
      <c r="A83" t="s">
        <v>248</v>
      </c>
      <c r="B83" t="s">
        <v>249</v>
      </c>
      <c r="C83" t="s">
        <v>250</v>
      </c>
      <c r="D83" s="1">
        <v>0.36</v>
      </c>
    </row>
    <row r="84" spans="1:6" x14ac:dyDescent="0.35">
      <c r="A84" t="s">
        <v>251</v>
      </c>
      <c r="B84" t="s">
        <v>252</v>
      </c>
      <c r="C84" t="s">
        <v>162</v>
      </c>
      <c r="D84" s="1">
        <v>0.02</v>
      </c>
    </row>
    <row r="85" spans="1:6" x14ac:dyDescent="0.35">
      <c r="A85" t="s">
        <v>253</v>
      </c>
      <c r="B85" t="s">
        <v>254</v>
      </c>
      <c r="C85" t="s">
        <v>91</v>
      </c>
      <c r="D85" s="1">
        <v>0.49</v>
      </c>
      <c r="E85">
        <v>-1</v>
      </c>
      <c r="F85" t="s">
        <v>29</v>
      </c>
    </row>
    <row r="86" spans="1:6" x14ac:dyDescent="0.35">
      <c r="A86" t="s">
        <v>137</v>
      </c>
      <c r="B86" t="s">
        <v>138</v>
      </c>
      <c r="C86" t="s">
        <v>139</v>
      </c>
      <c r="D86" s="1">
        <v>0.42</v>
      </c>
    </row>
    <row r="87" spans="1:6" x14ac:dyDescent="0.35">
      <c r="A87" t="s">
        <v>154</v>
      </c>
      <c r="B87" t="s">
        <v>255</v>
      </c>
      <c r="C87" t="s">
        <v>222</v>
      </c>
      <c r="D87" s="1">
        <v>0.49</v>
      </c>
    </row>
    <row r="88" spans="1:6" x14ac:dyDescent="0.35">
      <c r="A88" t="s">
        <v>256</v>
      </c>
      <c r="B88" t="s">
        <v>257</v>
      </c>
      <c r="C88" t="s">
        <v>162</v>
      </c>
      <c r="D88" s="1">
        <v>0.14000000000000001</v>
      </c>
    </row>
    <row r="89" spans="1:6" x14ac:dyDescent="0.35">
      <c r="A89" t="s">
        <v>258</v>
      </c>
      <c r="B89" t="s">
        <v>259</v>
      </c>
      <c r="C89" t="s">
        <v>260</v>
      </c>
      <c r="D89" s="1">
        <v>0.49</v>
      </c>
    </row>
    <row r="90" spans="1:6" x14ac:dyDescent="0.35">
      <c r="A90" t="s">
        <v>261</v>
      </c>
      <c r="B90" t="s">
        <v>43</v>
      </c>
      <c r="C90" t="s">
        <v>172</v>
      </c>
      <c r="D90" s="1">
        <v>0.11</v>
      </c>
    </row>
    <row r="91" spans="1:6" x14ac:dyDescent="0.35">
      <c r="A91" t="s">
        <v>175</v>
      </c>
      <c r="B91" t="s">
        <v>262</v>
      </c>
      <c r="C91" t="s">
        <v>263</v>
      </c>
      <c r="D91" s="1">
        <v>0.49</v>
      </c>
    </row>
    <row r="92" spans="1:6" x14ac:dyDescent="0.35">
      <c r="A92" t="s">
        <v>264</v>
      </c>
      <c r="B92" t="s">
        <v>265</v>
      </c>
      <c r="C92" t="s">
        <v>162</v>
      </c>
      <c r="D92" s="1">
        <v>0.14000000000000001</v>
      </c>
    </row>
    <row r="93" spans="1:6" x14ac:dyDescent="0.35">
      <c r="A93" t="s">
        <v>266</v>
      </c>
      <c r="B93" t="s">
        <v>267</v>
      </c>
      <c r="C93" t="s">
        <v>268</v>
      </c>
      <c r="D93" s="1">
        <v>0.43</v>
      </c>
    </row>
    <row r="94" spans="1:6" x14ac:dyDescent="0.35">
      <c r="A94" t="s">
        <v>269</v>
      </c>
      <c r="B94" t="s">
        <v>270</v>
      </c>
      <c r="C94" t="s">
        <v>271</v>
      </c>
      <c r="D94" s="1">
        <v>0.5</v>
      </c>
    </row>
    <row r="95" spans="1:6" x14ac:dyDescent="0.35">
      <c r="A95" t="s">
        <v>272</v>
      </c>
      <c r="B95" t="s">
        <v>273</v>
      </c>
      <c r="C95" t="s">
        <v>184</v>
      </c>
      <c r="D95" s="1">
        <v>0.48</v>
      </c>
    </row>
    <row r="96" spans="1:6" x14ac:dyDescent="0.35">
      <c r="A96" t="s">
        <v>274</v>
      </c>
      <c r="B96" t="s">
        <v>275</v>
      </c>
      <c r="C96" t="s">
        <v>276</v>
      </c>
      <c r="D96" s="1">
        <v>0.48</v>
      </c>
    </row>
    <row r="97" spans="1:6" x14ac:dyDescent="0.35">
      <c r="A97" t="s">
        <v>277</v>
      </c>
      <c r="B97" t="s">
        <v>226</v>
      </c>
      <c r="C97" t="s">
        <v>162</v>
      </c>
      <c r="D97" s="1">
        <v>0.47</v>
      </c>
    </row>
    <row r="98" spans="1:6" x14ac:dyDescent="0.35">
      <c r="A98" t="s">
        <v>277</v>
      </c>
      <c r="B98" t="s">
        <v>226</v>
      </c>
      <c r="C98" t="s">
        <v>162</v>
      </c>
      <c r="D98" s="1">
        <v>0.47</v>
      </c>
    </row>
    <row r="99" spans="1:6" x14ac:dyDescent="0.35">
      <c r="A99" t="s">
        <v>278</v>
      </c>
      <c r="B99" t="s">
        <v>152</v>
      </c>
      <c r="C99" t="s">
        <v>279</v>
      </c>
      <c r="D99" s="1">
        <v>0.5</v>
      </c>
    </row>
    <row r="100" spans="1:6" x14ac:dyDescent="0.35">
      <c r="A100" t="s">
        <v>280</v>
      </c>
      <c r="B100" t="s">
        <v>281</v>
      </c>
      <c r="C100" t="s">
        <v>161</v>
      </c>
      <c r="D100" s="1">
        <v>0.08</v>
      </c>
    </row>
    <row r="101" spans="1:6" x14ac:dyDescent="0.35">
      <c r="A101" t="s">
        <v>282</v>
      </c>
      <c r="B101" t="s">
        <v>283</v>
      </c>
      <c r="C101" t="s">
        <v>167</v>
      </c>
      <c r="D101" s="1">
        <v>0.02</v>
      </c>
    </row>
    <row r="102" spans="1:6" x14ac:dyDescent="0.35">
      <c r="A102" t="s">
        <v>284</v>
      </c>
      <c r="B102" t="s">
        <v>285</v>
      </c>
      <c r="C102" t="s">
        <v>286</v>
      </c>
      <c r="D102" s="1">
        <v>0.49</v>
      </c>
    </row>
    <row r="103" spans="1:6" x14ac:dyDescent="0.35">
      <c r="A103" t="s">
        <v>287</v>
      </c>
      <c r="B103" t="s">
        <v>288</v>
      </c>
      <c r="C103" t="s">
        <v>67</v>
      </c>
      <c r="D103" s="1">
        <v>0.04</v>
      </c>
    </row>
    <row r="104" spans="1:6" x14ac:dyDescent="0.35">
      <c r="A104" t="s">
        <v>289</v>
      </c>
      <c r="B104" t="s">
        <v>290</v>
      </c>
      <c r="C104" t="s">
        <v>291</v>
      </c>
      <c r="D104" s="1">
        <v>0.49</v>
      </c>
    </row>
    <row r="105" spans="1:6" x14ac:dyDescent="0.35">
      <c r="A105" t="s">
        <v>292</v>
      </c>
      <c r="B105" t="s">
        <v>293</v>
      </c>
      <c r="C105" t="s">
        <v>294</v>
      </c>
      <c r="D105" s="1">
        <v>0.42</v>
      </c>
    </row>
    <row r="106" spans="1:6" x14ac:dyDescent="0.35">
      <c r="A106" t="s">
        <v>295</v>
      </c>
      <c r="B106" t="s">
        <v>296</v>
      </c>
      <c r="C106" t="s">
        <v>297</v>
      </c>
      <c r="D106" s="1">
        <v>0.21</v>
      </c>
      <c r="E106">
        <v>-1</v>
      </c>
      <c r="F106" t="s">
        <v>59</v>
      </c>
    </row>
    <row r="107" spans="1:6" x14ac:dyDescent="0.35">
      <c r="A107" t="s">
        <v>298</v>
      </c>
      <c r="B107" t="s">
        <v>299</v>
      </c>
      <c r="C107" t="s">
        <v>300</v>
      </c>
      <c r="D107" s="1">
        <v>0.41</v>
      </c>
    </row>
    <row r="108" spans="1:6" x14ac:dyDescent="0.35">
      <c r="A108" t="s">
        <v>301</v>
      </c>
      <c r="B108" t="s">
        <v>302</v>
      </c>
      <c r="C108" t="s">
        <v>303</v>
      </c>
      <c r="D108" s="1">
        <v>0.01</v>
      </c>
    </row>
    <row r="109" spans="1:6" x14ac:dyDescent="0.35">
      <c r="A109" t="s">
        <v>304</v>
      </c>
      <c r="B109" t="s">
        <v>305</v>
      </c>
      <c r="C109" t="s">
        <v>306</v>
      </c>
      <c r="D109" s="1">
        <v>0.24</v>
      </c>
    </row>
    <row r="110" spans="1:6" x14ac:dyDescent="0.35">
      <c r="A110" t="s">
        <v>307</v>
      </c>
      <c r="B110" t="s">
        <v>308</v>
      </c>
      <c r="C110" t="s">
        <v>309</v>
      </c>
      <c r="D110" s="1">
        <v>0.34</v>
      </c>
    </row>
    <row r="111" spans="1:6" x14ac:dyDescent="0.35">
      <c r="A111" t="s">
        <v>310</v>
      </c>
      <c r="B111" t="s">
        <v>146</v>
      </c>
      <c r="C111" t="s">
        <v>311</v>
      </c>
      <c r="D111" s="1">
        <v>0.34</v>
      </c>
    </row>
    <row r="112" spans="1:6" x14ac:dyDescent="0.35">
      <c r="A112" t="s">
        <v>312</v>
      </c>
      <c r="B112" t="s">
        <v>313</v>
      </c>
      <c r="C112" t="s">
        <v>162</v>
      </c>
      <c r="D112" s="1">
        <v>0.02</v>
      </c>
    </row>
    <row r="113" spans="1:6" x14ac:dyDescent="0.35">
      <c r="A113" t="s">
        <v>314</v>
      </c>
      <c r="B113" t="s">
        <v>315</v>
      </c>
      <c r="C113" t="s">
        <v>239</v>
      </c>
      <c r="D113" s="1">
        <v>0.02</v>
      </c>
    </row>
    <row r="114" spans="1:6" x14ac:dyDescent="0.35">
      <c r="A114" t="s">
        <v>316</v>
      </c>
      <c r="B114" t="s">
        <v>155</v>
      </c>
      <c r="C114" t="s">
        <v>317</v>
      </c>
      <c r="D114" s="1">
        <v>0.64</v>
      </c>
    </row>
    <row r="115" spans="1:6" x14ac:dyDescent="0.35">
      <c r="A115" t="s">
        <v>318</v>
      </c>
      <c r="B115" t="s">
        <v>242</v>
      </c>
      <c r="C115" t="s">
        <v>172</v>
      </c>
      <c r="D115" s="1">
        <v>0.5</v>
      </c>
      <c r="E115">
        <v>-1</v>
      </c>
      <c r="F115" t="s">
        <v>319</v>
      </c>
    </row>
    <row r="116" spans="1:6" x14ac:dyDescent="0.35">
      <c r="A116" t="s">
        <v>320</v>
      </c>
      <c r="B116" t="s">
        <v>321</v>
      </c>
      <c r="C116" t="s">
        <v>322</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88B7-11E3-4E85-B241-4C60276868CB}">
  <dimension ref="A1:R113"/>
  <sheetViews>
    <sheetView zoomScale="93" workbookViewId="0">
      <pane ySplit="1" topLeftCell="A102" activePane="bottomLeft" state="frozen"/>
      <selection pane="bottomLeft" activeCell="K114" sqref="K114"/>
    </sheetView>
  </sheetViews>
  <sheetFormatPr defaultColWidth="53.26953125" defaultRowHeight="14.5" x14ac:dyDescent="0.35"/>
  <cols>
    <col min="1" max="1" width="69.81640625" style="4" customWidth="1"/>
    <col min="2" max="2" width="19.1796875" style="6" customWidth="1"/>
    <col min="3" max="3" width="28.7265625" style="8" customWidth="1"/>
    <col min="4" max="4" width="13.7265625" style="18" customWidth="1"/>
    <col min="5" max="5" width="13.7265625" style="21" customWidth="1"/>
    <col min="6" max="6" width="28.7265625" customWidth="1"/>
    <col min="7" max="7" width="16.81640625" style="14" customWidth="1"/>
    <col min="8" max="8" width="16.81640625" style="16" customWidth="1"/>
    <col min="9" max="9" width="21.453125" style="16" customWidth="1"/>
    <col min="10" max="10" width="14.7265625" style="12" customWidth="1"/>
    <col min="11" max="11" width="33.453125" style="12" customWidth="1"/>
    <col min="12" max="12" width="18.453125" style="23" customWidth="1"/>
    <col min="13" max="13" width="18.453125" customWidth="1"/>
    <col min="14" max="14" width="29.90625" style="4" customWidth="1"/>
    <col min="15" max="18" width="53.26953125" style="4"/>
  </cols>
  <sheetData>
    <row r="1" spans="1:18" x14ac:dyDescent="0.35">
      <c r="A1" s="3" t="s">
        <v>0</v>
      </c>
      <c r="B1" s="5" t="s">
        <v>392</v>
      </c>
      <c r="C1" s="7" t="s">
        <v>391</v>
      </c>
      <c r="D1" s="17" t="s">
        <v>390</v>
      </c>
      <c r="E1" s="20" t="s">
        <v>393</v>
      </c>
      <c r="F1" s="2" t="s">
        <v>385</v>
      </c>
      <c r="G1" s="13" t="s">
        <v>3</v>
      </c>
      <c r="H1" s="15" t="s">
        <v>388</v>
      </c>
      <c r="I1" s="15" t="s">
        <v>387</v>
      </c>
      <c r="J1" s="10" t="s">
        <v>4</v>
      </c>
      <c r="K1" s="10" t="s">
        <v>409</v>
      </c>
      <c r="L1" s="22" t="s">
        <v>337</v>
      </c>
      <c r="M1" s="2" t="s">
        <v>408</v>
      </c>
      <c r="N1" s="19" t="s">
        <v>389</v>
      </c>
      <c r="O1" s="4" t="s">
        <v>406</v>
      </c>
      <c r="P1" s="4" t="s">
        <v>410</v>
      </c>
      <c r="Q1" s="4" t="s">
        <v>411</v>
      </c>
      <c r="R1" s="29" t="s">
        <v>451</v>
      </c>
    </row>
    <row r="2" spans="1:18" hidden="1" x14ac:dyDescent="0.35">
      <c r="A2" s="4" t="s">
        <v>6</v>
      </c>
      <c r="B2" s="6">
        <v>950</v>
      </c>
      <c r="C2" s="8">
        <v>1525</v>
      </c>
      <c r="D2" s="18" t="str">
        <f t="shared" ref="D2:D33" si="0">IF(B2&gt;C2,"Check prices","OK")</f>
        <v>OK</v>
      </c>
      <c r="E2" s="21" t="str">
        <f t="shared" ref="E2:E33" si="1">IF(B2="","Missing",IF(B2&gt;Price_Q3,"High Price",IF(B2&gt;Price_Q1,"Medium Price","Low Price")))</f>
        <v>Medium Price</v>
      </c>
      <c r="F2" s="9">
        <f t="shared" ref="F2:F33" si="2">C2-B2</f>
        <v>575</v>
      </c>
      <c r="G2" s="14">
        <v>0.38</v>
      </c>
      <c r="H2" s="16" t="str">
        <f t="shared" ref="H2:H33" si="3">IF(OR(G2&lt;0,G2&gt;1),"Check the discount","OK")</f>
        <v>OK</v>
      </c>
      <c r="I2" s="16" t="str">
        <f t="shared" ref="I2:I33" si="4">IF(G2="","Missing",IF(G2&lt;20%,"Low Discount",IF(G2&lt;=40%,"Medium Discount","High Discount")))</f>
        <v>Medium Discount</v>
      </c>
      <c r="J2" s="11">
        <v>2</v>
      </c>
      <c r="K2" s="11" t="str">
        <f>IF(tblProducts[[#This Row],[Review]]="","Missing Entry",IF(tblProducts[[#This Row],[Review]]&gt;=Review_Q3, "Strong  Customer Engagement","Low Customer Engagement"))</f>
        <v>Low Customer Engagement</v>
      </c>
      <c r="L2" s="23">
        <v>4.5</v>
      </c>
      <c r="M2" t="str">
        <f t="shared" ref="M2:M33" si="5">IF(L2="","Missing Entry",IF(OR(L2&lt;0,L2&gt;5),"Check the rating","OK"))</f>
        <v>OK</v>
      </c>
      <c r="N2" s="4" t="str">
        <f t="shared" ref="N2:N33" si="6">IF(L2="","Missing",IF(L2&lt;3,"Poor",IF(L2&lt;=4.5,"Average","Excellent")))</f>
        <v>Average</v>
      </c>
      <c r="O2" s="4" t="str">
        <f>IF(OR(tblProducts[[#This Row],[Discount]]="",tblProducts[[#This Row],[Rating]]=""),"Missing Entry",IF(AND(tblProducts[[#This Row],[Discount]]&gt;=40%,tblProducts[[#This Row],[Rating]]&lt;3),"High Discount + Low Rating","Doesn't meet Criteria"))</f>
        <v>Doesn't meet Criteria</v>
      </c>
      <c r="P2" s="4" t="str">
        <f>IF(OR(tblProducts[[#This Row],[Review]]="",tblProducts[[#This Row],[Discount]]=""),"Missing Entry",IF(AND(tblProducts[[#This Row],[Discount]]&gt;=40%,tblProducts[[#This Row],[Review]]&lt;15),"High Discount + Low Engagement","Doesn't meet Criteria"))</f>
        <v>Doesn't meet Criteria</v>
      </c>
      <c r="Q2" s="4" t="str">
        <f>IF(OR(tblProducts[[#This Row],[Review]]="",tblProducts[[#This Row],[Rating]]=""),"Missing Entry",IF(AND(tblProducts[[#This Row],[Review]]&gt;=15,tblProducts[[#This Row],[Rating]]&gt;=3,tblProducts[[#This Row],[Rating]]&lt;=4.5),"Many Reviews + Average Rating","Doesn't meet Criteria"))</f>
        <v>Doesn't meet Criteria</v>
      </c>
      <c r="R2" s="4" t="str">
        <f>IF(OR(tblProducts[[#This Row],[Review]]="",tblProducts[[#This Row],[Rating]]=""),"Missing Entry",IF(AND(tblProducts[[#This Row],[Review]]&gt;=15,tblProducts[[#This Row],[Rating]]&gt;4.5),"Strong Engagement + Excellent Rating","Doesn't meet criteria"))</f>
        <v>Doesn't meet criteria</v>
      </c>
    </row>
    <row r="3" spans="1:18" hidden="1" x14ac:dyDescent="0.35">
      <c r="A3" s="4" t="s">
        <v>10</v>
      </c>
      <c r="B3" s="6">
        <v>527</v>
      </c>
      <c r="C3" s="8">
        <v>999</v>
      </c>
      <c r="D3" s="18" t="str">
        <f t="shared" si="0"/>
        <v>OK</v>
      </c>
      <c r="E3" s="21" t="str">
        <f t="shared" si="1"/>
        <v>Medium Price</v>
      </c>
      <c r="F3" s="9">
        <f t="shared" si="2"/>
        <v>472</v>
      </c>
      <c r="G3" s="14">
        <v>0.47</v>
      </c>
      <c r="H3" s="16" t="str">
        <f t="shared" si="3"/>
        <v>OK</v>
      </c>
      <c r="I3" s="16" t="str">
        <f t="shared" si="4"/>
        <v>High Discount</v>
      </c>
      <c r="J3" s="11">
        <v>14</v>
      </c>
      <c r="K3" s="11" t="str">
        <f>IF(tblProducts[[#This Row],[Review]]="","Missing Entry",IF(tblProducts[[#This Row],[Review]]&gt;=Review_Q3, "Strong  Customer Engagement","Low Customer Engagement"))</f>
        <v>Low Customer Engagement</v>
      </c>
      <c r="L3" s="23">
        <v>4.0999999999999996</v>
      </c>
      <c r="M3" t="str">
        <f t="shared" si="5"/>
        <v>OK</v>
      </c>
      <c r="N3" s="4" t="str">
        <f t="shared" si="6"/>
        <v>Average</v>
      </c>
      <c r="O3" s="4" t="str">
        <f>IF(OR(tblProducts[[#This Row],[Discount]]="",tblProducts[[#This Row],[Rating]]=""),"Missing Entry",IF(AND(tblProducts[[#This Row],[Discount]]&gt;=40%,tblProducts[[#This Row],[Rating]]&lt;3),"High Discount + Low Rating","Doesn't meet Criteria"))</f>
        <v>Doesn't meet Criteria</v>
      </c>
      <c r="P3" s="4" t="str">
        <f>IF(OR(tblProducts[[#This Row],[Review]]="",tblProducts[[#This Row],[Discount]]=""),"Missing Entry",IF(AND(tblProducts[[#This Row],[Discount]]&gt;=40%,tblProducts[[#This Row],[Review]]&lt;15),"High Discount + Low Engagement","Doesn't meet Criteria"))</f>
        <v>High Discount + Low Engagement</v>
      </c>
      <c r="Q3" s="4" t="str">
        <f>IF(OR(tblProducts[[#This Row],[Review]]="",tblProducts[[#This Row],[Rating]]=""),"Missing Entry",IF(AND(tblProducts[[#This Row],[Review]]&gt;=15,tblProducts[[#This Row],[Rating]]&gt;=3,tblProducts[[#This Row],[Rating]]&lt;=4.5),"Many Reviews + Average Rating","Doesn't meet Criteria"))</f>
        <v>Doesn't meet Criteria</v>
      </c>
      <c r="R3" s="4" t="str">
        <f>IF(OR(tblProducts[[#This Row],[Review]]="",tblProducts[[#This Row],[Rating]]=""),"Missing Entry",IF(AND(tblProducts[[#This Row],[Review]]&gt;=15,tblProducts[[#This Row],[Rating]]&gt;4.5),"Strong Engagement + Excellent Rating","Doesn't meet criteria"))</f>
        <v>Doesn't meet criteria</v>
      </c>
    </row>
    <row r="4" spans="1:18" hidden="1" x14ac:dyDescent="0.35">
      <c r="A4" s="4" t="s">
        <v>14</v>
      </c>
      <c r="B4" s="6">
        <v>2199</v>
      </c>
      <c r="C4" s="8">
        <v>2923</v>
      </c>
      <c r="D4" s="18" t="str">
        <f t="shared" si="0"/>
        <v>OK</v>
      </c>
      <c r="E4" s="21" t="str">
        <f t="shared" si="1"/>
        <v>High Price</v>
      </c>
      <c r="F4" s="9">
        <f t="shared" si="2"/>
        <v>724</v>
      </c>
      <c r="G4" s="14">
        <v>0.25</v>
      </c>
      <c r="H4" s="16" t="str">
        <f t="shared" si="3"/>
        <v>OK</v>
      </c>
      <c r="I4" s="16" t="str">
        <f t="shared" si="4"/>
        <v>Medium Discount</v>
      </c>
      <c r="J4" s="11">
        <v>24</v>
      </c>
      <c r="K4" s="11" t="str">
        <f>IF(tblProducts[[#This Row],[Review]]="","Missing Entry",IF(tblProducts[[#This Row],[Review]]&gt;=Review_Q3, "Strong  Customer Engagement","Low Customer Engagement"))</f>
        <v>Strong  Customer Engagement</v>
      </c>
      <c r="L4" s="23">
        <v>4.5999999999999996</v>
      </c>
      <c r="M4" t="str">
        <f t="shared" si="5"/>
        <v>OK</v>
      </c>
      <c r="N4" s="4" t="str">
        <f t="shared" si="6"/>
        <v>Excellent</v>
      </c>
      <c r="O4" s="4" t="str">
        <f>IF(OR(tblProducts[[#This Row],[Discount]]="",tblProducts[[#This Row],[Rating]]=""),"Missing Entry",IF(AND(tblProducts[[#This Row],[Discount]]&gt;=40%,tblProducts[[#This Row],[Rating]]&lt;3),"High Discount + Low Rating","Doesn't meet Criteria"))</f>
        <v>Doesn't meet Criteria</v>
      </c>
      <c r="P4" s="4" t="str">
        <f>IF(OR(tblProducts[[#This Row],[Review]]="",tblProducts[[#This Row],[Discount]]=""),"Missing Entry",IF(AND(tblProducts[[#This Row],[Discount]]&gt;=40%,tblProducts[[#This Row],[Review]]&lt;15),"High Discount + Low Engagement","Doesn't meet Criteria"))</f>
        <v>Doesn't meet Criteria</v>
      </c>
      <c r="Q4" s="4" t="str">
        <f>IF(OR(tblProducts[[#This Row],[Review]]="",tblProducts[[#This Row],[Rating]]=""),"Missing Entry",IF(AND(tblProducts[[#This Row],[Review]]&gt;=15,tblProducts[[#This Row],[Rating]]&gt;=3,tblProducts[[#This Row],[Rating]]&lt;=4.5),"Many Reviews + Average Rating","Doesn't meet Criteria"))</f>
        <v>Doesn't meet Criteria</v>
      </c>
      <c r="R4" s="4" t="str">
        <f>IF(OR(tblProducts[[#This Row],[Review]]="",tblProducts[[#This Row],[Rating]]=""),"Missing Entry",IF(AND(tblProducts[[#This Row],[Review]]&gt;=15,tblProducts[[#This Row],[Rating]]&gt;4.5),"Strong Engagement + Excellent Rating","Doesn't meet criteria"))</f>
        <v>Strong Engagement + Excellent Rating</v>
      </c>
    </row>
    <row r="5" spans="1:18" hidden="1" x14ac:dyDescent="0.35">
      <c r="A5" s="4" t="s">
        <v>338</v>
      </c>
      <c r="B5" s="6">
        <v>1580</v>
      </c>
      <c r="C5" s="8">
        <v>2499</v>
      </c>
      <c r="D5" s="18" t="str">
        <f t="shared" si="0"/>
        <v>OK</v>
      </c>
      <c r="E5" s="21" t="str">
        <f t="shared" si="1"/>
        <v>Medium Price</v>
      </c>
      <c r="F5" s="9">
        <f t="shared" si="2"/>
        <v>919</v>
      </c>
      <c r="G5" s="14">
        <v>0.37</v>
      </c>
      <c r="H5" s="16" t="str">
        <f t="shared" si="3"/>
        <v>OK</v>
      </c>
      <c r="I5" s="16" t="str">
        <f t="shared" si="4"/>
        <v>Medium Discount</v>
      </c>
      <c r="J5" s="11">
        <v>7</v>
      </c>
      <c r="K5" s="11" t="str">
        <f>IF(tblProducts[[#This Row],[Review]]="","Missing Entry",IF(tblProducts[[#This Row],[Review]]&gt;=Review_Q3, "Strong  Customer Engagement","Low Customer Engagement"))</f>
        <v>Low Customer Engagement</v>
      </c>
      <c r="L5" s="23">
        <v>4.7</v>
      </c>
      <c r="M5" t="str">
        <f t="shared" si="5"/>
        <v>OK</v>
      </c>
      <c r="N5" s="4" t="str">
        <f t="shared" si="6"/>
        <v>Excellent</v>
      </c>
      <c r="O5" s="4" t="str">
        <f>IF(OR(tblProducts[[#This Row],[Discount]]="",tblProducts[[#This Row],[Rating]]=""),"Missing Entry",IF(AND(tblProducts[[#This Row],[Discount]]&gt;=40%,tblProducts[[#This Row],[Rating]]&lt;3),"High Discount + Low Rating","Doesn't meet Criteria"))</f>
        <v>Doesn't meet Criteria</v>
      </c>
      <c r="P5" s="4" t="str">
        <f>IF(OR(tblProducts[[#This Row],[Review]]="",tblProducts[[#This Row],[Discount]]=""),"Missing Entry",IF(AND(tblProducts[[#This Row],[Discount]]&gt;=40%,tblProducts[[#This Row],[Review]]&lt;15),"High Discount + Low Engagement","Doesn't meet Criteria"))</f>
        <v>Doesn't meet Criteria</v>
      </c>
      <c r="Q5" s="4" t="str">
        <f>IF(OR(tblProducts[[#This Row],[Review]]="",tblProducts[[#This Row],[Rating]]=""),"Missing Entry",IF(AND(tblProducts[[#This Row],[Review]]&gt;=15,tblProducts[[#This Row],[Rating]]&gt;=3,tblProducts[[#This Row],[Rating]]&lt;=4.5),"Many Reviews + Average Rating","Doesn't meet Criteria"))</f>
        <v>Doesn't meet Criteria</v>
      </c>
      <c r="R5" s="4" t="str">
        <f>IF(OR(tblProducts[[#This Row],[Review]]="",tblProducts[[#This Row],[Rating]]=""),"Missing Entry",IF(AND(tblProducts[[#This Row],[Review]]&gt;=15,tblProducts[[#This Row],[Rating]]&gt;4.5),"Strong Engagement + Excellent Rating","Doesn't meet criteria"))</f>
        <v>Doesn't meet criteria</v>
      </c>
    </row>
    <row r="6" spans="1:18" hidden="1" x14ac:dyDescent="0.35">
      <c r="A6" s="4" t="s">
        <v>22</v>
      </c>
      <c r="B6" s="6">
        <v>1740</v>
      </c>
      <c r="C6" s="8">
        <v>2356</v>
      </c>
      <c r="D6" s="18" t="str">
        <f t="shared" si="0"/>
        <v>OK</v>
      </c>
      <c r="E6" s="21" t="str">
        <f t="shared" si="1"/>
        <v>High Price</v>
      </c>
      <c r="F6" s="9">
        <f t="shared" si="2"/>
        <v>616</v>
      </c>
      <c r="G6" s="14">
        <v>0.26</v>
      </c>
      <c r="H6" s="16" t="str">
        <f t="shared" si="3"/>
        <v>OK</v>
      </c>
      <c r="I6" s="16" t="str">
        <f t="shared" si="4"/>
        <v>Medium Discount</v>
      </c>
      <c r="J6" s="11">
        <v>5</v>
      </c>
      <c r="K6" s="11" t="str">
        <f>IF(tblProducts[[#This Row],[Review]]="","Missing Entry",IF(tblProducts[[#This Row],[Review]]&gt;=Review_Q3, "Strong  Customer Engagement","Low Customer Engagement"))</f>
        <v>Low Customer Engagement</v>
      </c>
      <c r="L6" s="23">
        <v>4.8</v>
      </c>
      <c r="M6" t="str">
        <f t="shared" si="5"/>
        <v>OK</v>
      </c>
      <c r="N6" s="4" t="str">
        <f t="shared" si="6"/>
        <v>Excellent</v>
      </c>
      <c r="O6" s="4" t="str">
        <f>IF(OR(tblProducts[[#This Row],[Discount]]="",tblProducts[[#This Row],[Rating]]=""),"Missing Entry",IF(AND(tblProducts[[#This Row],[Discount]]&gt;=40%,tblProducts[[#This Row],[Rating]]&lt;3),"High Discount + Low Rating","Doesn't meet Criteria"))</f>
        <v>Doesn't meet Criteria</v>
      </c>
      <c r="P6" s="4" t="str">
        <f>IF(OR(tblProducts[[#This Row],[Review]]="",tblProducts[[#This Row],[Discount]]=""),"Missing Entry",IF(AND(tblProducts[[#This Row],[Discount]]&gt;=40%,tblProducts[[#This Row],[Review]]&lt;15),"High Discount + Low Engagement","Doesn't meet Criteria"))</f>
        <v>Doesn't meet Criteria</v>
      </c>
      <c r="Q6" s="4" t="str">
        <f>IF(OR(tblProducts[[#This Row],[Review]]="",tblProducts[[#This Row],[Rating]]=""),"Missing Entry",IF(AND(tblProducts[[#This Row],[Review]]&gt;=15,tblProducts[[#This Row],[Rating]]&gt;=3,tblProducts[[#This Row],[Rating]]&lt;=4.5),"Many Reviews + Average Rating","Doesn't meet Criteria"))</f>
        <v>Doesn't meet Criteria</v>
      </c>
      <c r="R6" s="4" t="str">
        <f>IF(OR(tblProducts[[#This Row],[Review]]="",tblProducts[[#This Row],[Rating]]=""),"Missing Entry",IF(AND(tblProducts[[#This Row],[Review]]&gt;=15,tblProducts[[#This Row],[Rating]]&gt;4.5),"Strong Engagement + Excellent Rating","Doesn't meet criteria"))</f>
        <v>Doesn't meet criteria</v>
      </c>
    </row>
    <row r="7" spans="1:18" hidden="1" x14ac:dyDescent="0.35">
      <c r="A7" s="4" t="s">
        <v>26</v>
      </c>
      <c r="B7" s="6">
        <v>2999</v>
      </c>
      <c r="C7" s="8">
        <v>3290</v>
      </c>
      <c r="D7" s="18" t="str">
        <f t="shared" si="0"/>
        <v>OK</v>
      </c>
      <c r="E7" s="21" t="str">
        <f t="shared" si="1"/>
        <v>High Price</v>
      </c>
      <c r="F7" s="9">
        <f t="shared" si="2"/>
        <v>291</v>
      </c>
      <c r="G7" s="14">
        <v>0.09</v>
      </c>
      <c r="H7" s="16" t="str">
        <f t="shared" si="3"/>
        <v>OK</v>
      </c>
      <c r="I7" s="16" t="str">
        <f t="shared" si="4"/>
        <v>Low Discount</v>
      </c>
      <c r="J7" s="11">
        <v>15</v>
      </c>
      <c r="K7" s="11" t="str">
        <f>IF(tblProducts[[#This Row],[Review]]="","Missing Entry",IF(tblProducts[[#This Row],[Review]]&gt;=Review_Q3, "Strong  Customer Engagement","Low Customer Engagement"))</f>
        <v>Strong  Customer Engagement</v>
      </c>
      <c r="L7" s="23">
        <v>4</v>
      </c>
      <c r="M7" t="str">
        <f t="shared" si="5"/>
        <v>OK</v>
      </c>
      <c r="N7" s="4" t="str">
        <f t="shared" si="6"/>
        <v>Average</v>
      </c>
      <c r="O7" s="4" t="str">
        <f>IF(OR(tblProducts[[#This Row],[Discount]]="",tblProducts[[#This Row],[Rating]]=""),"Missing Entry",IF(AND(tblProducts[[#This Row],[Discount]]&gt;=40%,tblProducts[[#This Row],[Rating]]&lt;3),"High Discount + Low Rating","Doesn't meet Criteria"))</f>
        <v>Doesn't meet Criteria</v>
      </c>
      <c r="P7" s="4" t="str">
        <f>IF(OR(tblProducts[[#This Row],[Review]]="",tblProducts[[#This Row],[Discount]]=""),"Missing Entry",IF(AND(tblProducts[[#This Row],[Discount]]&gt;=40%,tblProducts[[#This Row],[Review]]&lt;15),"High Discount + Low Engagement","Doesn't meet Criteria"))</f>
        <v>Doesn't meet Criteria</v>
      </c>
      <c r="Q7" s="4" t="str">
        <f>IF(OR(tblProducts[[#This Row],[Review]]="",tblProducts[[#This Row],[Rating]]=""),"Missing Entry",IF(AND(tblProducts[[#This Row],[Review]]&gt;=15,tblProducts[[#This Row],[Rating]]&gt;=3,tblProducts[[#This Row],[Rating]]&lt;=4.5),"Many Reviews + Average Rating","Doesn't meet Criteria"))</f>
        <v>Many Reviews + Average Rating</v>
      </c>
      <c r="R7" s="4" t="str">
        <f>IF(OR(tblProducts[[#This Row],[Review]]="",tblProducts[[#This Row],[Rating]]=""),"Missing Entry",IF(AND(tblProducts[[#This Row],[Review]]&gt;=15,tblProducts[[#This Row],[Rating]]&gt;4.5),"Strong Engagement + Excellent Rating","Doesn't meet criteria"))</f>
        <v>Doesn't meet criteria</v>
      </c>
    </row>
    <row r="8" spans="1:18" hidden="1" x14ac:dyDescent="0.35">
      <c r="A8" s="4" t="s">
        <v>30</v>
      </c>
      <c r="B8" s="6">
        <v>2319</v>
      </c>
      <c r="C8" s="8">
        <v>3032</v>
      </c>
      <c r="D8" s="18" t="str">
        <f t="shared" si="0"/>
        <v>OK</v>
      </c>
      <c r="E8" s="21" t="str">
        <f t="shared" si="1"/>
        <v>High Price</v>
      </c>
      <c r="F8" s="9">
        <f t="shared" si="2"/>
        <v>713</v>
      </c>
      <c r="G8" s="14">
        <v>0.24</v>
      </c>
      <c r="H8" s="16" t="str">
        <f t="shared" si="3"/>
        <v>OK</v>
      </c>
      <c r="I8" s="16" t="str">
        <f t="shared" si="4"/>
        <v>Medium Discount</v>
      </c>
      <c r="J8" s="11">
        <v>55</v>
      </c>
      <c r="K8" s="11" t="str">
        <f>IF(tblProducts[[#This Row],[Review]]="","Missing Entry",IF(tblProducts[[#This Row],[Review]]&gt;=Review_Q3, "Strong  Customer Engagement","Low Customer Engagement"))</f>
        <v>Strong  Customer Engagement</v>
      </c>
      <c r="L8" s="23">
        <v>4.5999999999999996</v>
      </c>
      <c r="M8" t="str">
        <f t="shared" si="5"/>
        <v>OK</v>
      </c>
      <c r="N8" s="4" t="str">
        <f t="shared" si="6"/>
        <v>Excellent</v>
      </c>
      <c r="O8" s="4" t="str">
        <f>IF(OR(tblProducts[[#This Row],[Discount]]="",tblProducts[[#This Row],[Rating]]=""),"Missing Entry",IF(AND(tblProducts[[#This Row],[Discount]]&gt;=40%,tblProducts[[#This Row],[Rating]]&lt;3),"High Discount + Low Rating","Doesn't meet Criteria"))</f>
        <v>Doesn't meet Criteria</v>
      </c>
      <c r="P8" s="4" t="str">
        <f>IF(OR(tblProducts[[#This Row],[Review]]="",tblProducts[[#This Row],[Discount]]=""),"Missing Entry",IF(AND(tblProducts[[#This Row],[Discount]]&gt;=40%,tblProducts[[#This Row],[Review]]&lt;15),"High Discount + Low Engagement","Doesn't meet Criteria"))</f>
        <v>Doesn't meet Criteria</v>
      </c>
      <c r="Q8" s="4" t="str">
        <f>IF(OR(tblProducts[[#This Row],[Review]]="",tblProducts[[#This Row],[Rating]]=""),"Missing Entry",IF(AND(tblProducts[[#This Row],[Review]]&gt;=15,tblProducts[[#This Row],[Rating]]&gt;=3,tblProducts[[#This Row],[Rating]]&lt;=4.5),"Many Reviews + Average Rating","Doesn't meet Criteria"))</f>
        <v>Doesn't meet Criteria</v>
      </c>
      <c r="R8" s="4" t="str">
        <f>IF(OR(tblProducts[[#This Row],[Review]]="",tblProducts[[#This Row],[Rating]]=""),"Missing Entry",IF(AND(tblProducts[[#This Row],[Review]]&gt;=15,tblProducts[[#This Row],[Rating]]&gt;4.5),"Strong Engagement + Excellent Rating","Doesn't meet criteria"))</f>
        <v>Strong Engagement + Excellent Rating</v>
      </c>
    </row>
    <row r="9" spans="1:18" hidden="1" x14ac:dyDescent="0.35">
      <c r="A9" s="4" t="s">
        <v>33</v>
      </c>
      <c r="B9" s="6">
        <v>988</v>
      </c>
      <c r="C9" s="8">
        <v>1580</v>
      </c>
      <c r="D9" s="18" t="str">
        <f t="shared" si="0"/>
        <v>OK</v>
      </c>
      <c r="E9" s="21" t="str">
        <f t="shared" si="1"/>
        <v>Medium Price</v>
      </c>
      <c r="F9" s="9">
        <f t="shared" si="2"/>
        <v>592</v>
      </c>
      <c r="G9" s="14">
        <v>0.37</v>
      </c>
      <c r="H9" s="16" t="str">
        <f t="shared" si="3"/>
        <v>OK</v>
      </c>
      <c r="I9" s="16" t="str">
        <f t="shared" si="4"/>
        <v>Medium Discount</v>
      </c>
      <c r="J9" s="11">
        <v>2</v>
      </c>
      <c r="K9" s="11" t="str">
        <f>IF(tblProducts[[#This Row],[Review]]="","Missing Entry",IF(tblProducts[[#This Row],[Review]]&gt;=Review_Q3, "Strong  Customer Engagement","Low Customer Engagement"))</f>
        <v>Low Customer Engagement</v>
      </c>
      <c r="L9" s="23">
        <v>4</v>
      </c>
      <c r="M9" t="str">
        <f t="shared" si="5"/>
        <v>OK</v>
      </c>
      <c r="N9" s="4" t="str">
        <f t="shared" si="6"/>
        <v>Average</v>
      </c>
      <c r="O9" s="4" t="str">
        <f>IF(OR(tblProducts[[#This Row],[Discount]]="",tblProducts[[#This Row],[Rating]]=""),"Missing Entry",IF(AND(tblProducts[[#This Row],[Discount]]&gt;=40%,tblProducts[[#This Row],[Rating]]&lt;3),"High Discount + Low Rating","Doesn't meet Criteria"))</f>
        <v>Doesn't meet Criteria</v>
      </c>
      <c r="P9" s="4" t="str">
        <f>IF(OR(tblProducts[[#This Row],[Review]]="",tblProducts[[#This Row],[Discount]]=""),"Missing Entry",IF(AND(tblProducts[[#This Row],[Discount]]&gt;=40%,tblProducts[[#This Row],[Review]]&lt;15),"High Discount + Low Engagement","Doesn't meet Criteria"))</f>
        <v>Doesn't meet Criteria</v>
      </c>
      <c r="Q9" s="4" t="str">
        <f>IF(OR(tblProducts[[#This Row],[Review]]="",tblProducts[[#This Row],[Rating]]=""),"Missing Entry",IF(AND(tblProducts[[#This Row],[Review]]&gt;=15,tblProducts[[#This Row],[Rating]]&gt;=3,tblProducts[[#This Row],[Rating]]&lt;=4.5),"Many Reviews + Average Rating","Doesn't meet Criteria"))</f>
        <v>Doesn't meet Criteria</v>
      </c>
      <c r="R9" s="4" t="str">
        <f>IF(OR(tblProducts[[#This Row],[Review]]="",tblProducts[[#This Row],[Rating]]=""),"Missing Entry",IF(AND(tblProducts[[#This Row],[Review]]&gt;=15,tblProducts[[#This Row],[Rating]]&gt;4.5),"Strong Engagement + Excellent Rating","Doesn't meet criteria"))</f>
        <v>Doesn't meet criteria</v>
      </c>
    </row>
    <row r="10" spans="1:18" hidden="1" x14ac:dyDescent="0.35">
      <c r="A10" s="4" t="s">
        <v>339</v>
      </c>
      <c r="B10" s="6">
        <v>1274</v>
      </c>
      <c r="C10" s="8">
        <v>2800</v>
      </c>
      <c r="D10" s="18" t="str">
        <f t="shared" si="0"/>
        <v>OK</v>
      </c>
      <c r="E10" s="21" t="str">
        <f t="shared" si="1"/>
        <v>Medium Price</v>
      </c>
      <c r="F10" s="9">
        <f t="shared" si="2"/>
        <v>1526</v>
      </c>
      <c r="G10" s="14">
        <v>0.55000000000000004</v>
      </c>
      <c r="H10" s="16" t="str">
        <f t="shared" si="3"/>
        <v>OK</v>
      </c>
      <c r="I10" s="16" t="str">
        <f t="shared" si="4"/>
        <v>High Discount</v>
      </c>
      <c r="J10" s="11">
        <v>5</v>
      </c>
      <c r="K10" s="11" t="str">
        <f>IF(tblProducts[[#This Row],[Review]]="","Missing Entry",IF(tblProducts[[#This Row],[Review]]&gt;=Review_Q3, "Strong  Customer Engagement","Low Customer Engagement"))</f>
        <v>Low Customer Engagement</v>
      </c>
      <c r="L10" s="23">
        <v>4.8</v>
      </c>
      <c r="M10" t="str">
        <f t="shared" si="5"/>
        <v>OK</v>
      </c>
      <c r="N10" s="4" t="str">
        <f t="shared" si="6"/>
        <v>Excellent</v>
      </c>
      <c r="O10" s="4" t="str">
        <f>IF(OR(tblProducts[[#This Row],[Discount]]="",tblProducts[[#This Row],[Rating]]=""),"Missing Entry",IF(AND(tblProducts[[#This Row],[Discount]]&gt;=40%,tblProducts[[#This Row],[Rating]]&lt;3),"High Discount + Low Rating","Doesn't meet Criteria"))</f>
        <v>Doesn't meet Criteria</v>
      </c>
      <c r="P10" s="4" t="str">
        <f>IF(OR(tblProducts[[#This Row],[Review]]="",tblProducts[[#This Row],[Discount]]=""),"Missing Entry",IF(AND(tblProducts[[#This Row],[Discount]]&gt;=40%,tblProducts[[#This Row],[Review]]&lt;15),"High Discount + Low Engagement","Doesn't meet Criteria"))</f>
        <v>High Discount + Low Engagement</v>
      </c>
      <c r="Q10" s="4" t="str">
        <f>IF(OR(tblProducts[[#This Row],[Review]]="",tblProducts[[#This Row],[Rating]]=""),"Missing Entry",IF(AND(tblProducts[[#This Row],[Review]]&gt;=15,tblProducts[[#This Row],[Rating]]&gt;=3,tblProducts[[#This Row],[Rating]]&lt;=4.5),"Many Reviews + Average Rating","Doesn't meet Criteria"))</f>
        <v>Doesn't meet Criteria</v>
      </c>
      <c r="R10" s="4" t="str">
        <f>IF(OR(tblProducts[[#This Row],[Review]]="",tblProducts[[#This Row],[Rating]]=""),"Missing Entry",IF(AND(tblProducts[[#This Row],[Review]]&gt;=15,tblProducts[[#This Row],[Rating]]&gt;4.5),"Strong Engagement + Excellent Rating","Doesn't meet criteria"))</f>
        <v>Doesn't meet criteria</v>
      </c>
    </row>
    <row r="11" spans="1:18" hidden="1" x14ac:dyDescent="0.35">
      <c r="A11" s="4" t="s">
        <v>38</v>
      </c>
      <c r="B11" s="6">
        <v>1600</v>
      </c>
      <c r="C11" s="8">
        <v>2929</v>
      </c>
      <c r="D11" s="18" t="str">
        <f t="shared" si="0"/>
        <v>OK</v>
      </c>
      <c r="E11" s="21" t="str">
        <f t="shared" si="1"/>
        <v>Medium Price</v>
      </c>
      <c r="F11" s="9">
        <f t="shared" si="2"/>
        <v>1329</v>
      </c>
      <c r="G11" s="14">
        <v>0.45</v>
      </c>
      <c r="H11" s="16" t="str">
        <f t="shared" si="3"/>
        <v>OK</v>
      </c>
      <c r="I11" s="16" t="str">
        <f t="shared" si="4"/>
        <v>High Discount</v>
      </c>
      <c r="J11" s="11">
        <v>5</v>
      </c>
      <c r="K11" s="11" t="str">
        <f>IF(tblProducts[[#This Row],[Review]]="","Missing Entry",IF(tblProducts[[#This Row],[Review]]&gt;=Review_Q3, "Strong  Customer Engagement","Low Customer Engagement"))</f>
        <v>Low Customer Engagement</v>
      </c>
      <c r="L11" s="23">
        <v>3.8</v>
      </c>
      <c r="M11" t="str">
        <f t="shared" si="5"/>
        <v>OK</v>
      </c>
      <c r="N11" s="4" t="str">
        <f t="shared" si="6"/>
        <v>Average</v>
      </c>
      <c r="O11" s="4" t="str">
        <f>IF(OR(tblProducts[[#This Row],[Discount]]="",tblProducts[[#This Row],[Rating]]=""),"Missing Entry",IF(AND(tblProducts[[#This Row],[Discount]]&gt;=40%,tblProducts[[#This Row],[Rating]]&lt;3),"High Discount + Low Rating","Doesn't meet Criteria"))</f>
        <v>Doesn't meet Criteria</v>
      </c>
      <c r="P11" s="4" t="str">
        <f>IF(OR(tblProducts[[#This Row],[Review]]="",tblProducts[[#This Row],[Discount]]=""),"Missing Entry",IF(AND(tblProducts[[#This Row],[Discount]]&gt;=40%,tblProducts[[#This Row],[Review]]&lt;15),"High Discount + Low Engagement","Doesn't meet Criteria"))</f>
        <v>High Discount + Low Engagement</v>
      </c>
      <c r="Q11" s="4" t="str">
        <f>IF(OR(tblProducts[[#This Row],[Review]]="",tblProducts[[#This Row],[Rating]]=""),"Missing Entry",IF(AND(tblProducts[[#This Row],[Review]]&gt;=15,tblProducts[[#This Row],[Rating]]&gt;=3,tblProducts[[#This Row],[Rating]]&lt;=4.5),"Many Reviews + Average Rating","Doesn't meet Criteria"))</f>
        <v>Doesn't meet Criteria</v>
      </c>
      <c r="R11" s="4" t="str">
        <f>IF(OR(tblProducts[[#This Row],[Review]]="",tblProducts[[#This Row],[Rating]]=""),"Missing Entry",IF(AND(tblProducts[[#This Row],[Review]]&gt;=15,tblProducts[[#This Row],[Rating]]&gt;4.5),"Strong Engagement + Excellent Rating","Doesn't meet criteria"))</f>
        <v>Doesn't meet criteria</v>
      </c>
    </row>
    <row r="12" spans="1:18" hidden="1" x14ac:dyDescent="0.35">
      <c r="A12" s="4" t="s">
        <v>340</v>
      </c>
      <c r="B12" s="6">
        <v>799</v>
      </c>
      <c r="C12" s="8">
        <v>999</v>
      </c>
      <c r="D12" s="18" t="str">
        <f t="shared" si="0"/>
        <v>OK</v>
      </c>
      <c r="E12" s="21" t="str">
        <f t="shared" si="1"/>
        <v>Medium Price</v>
      </c>
      <c r="F12" s="9">
        <f t="shared" si="2"/>
        <v>200</v>
      </c>
      <c r="G12" s="14">
        <v>0.2</v>
      </c>
      <c r="H12" s="16" t="str">
        <f t="shared" si="3"/>
        <v>OK</v>
      </c>
      <c r="I12" s="16" t="str">
        <f t="shared" si="4"/>
        <v>Medium Discount</v>
      </c>
      <c r="J12" s="11">
        <v>12</v>
      </c>
      <c r="K12" s="11" t="str">
        <f>IF(tblProducts[[#This Row],[Review]]="","Missing Entry",IF(tblProducts[[#This Row],[Review]]&gt;=Review_Q3, "Strong  Customer Engagement","Low Customer Engagement"))</f>
        <v>Low Customer Engagement</v>
      </c>
      <c r="L12" s="23">
        <v>4.0999999999999996</v>
      </c>
      <c r="M12" t="str">
        <f t="shared" si="5"/>
        <v>OK</v>
      </c>
      <c r="N12" s="4" t="str">
        <f t="shared" si="6"/>
        <v>Average</v>
      </c>
      <c r="O12" s="4" t="str">
        <f>IF(OR(tblProducts[[#This Row],[Discount]]="",tblProducts[[#This Row],[Rating]]=""),"Missing Entry",IF(AND(tblProducts[[#This Row],[Discount]]&gt;=40%,tblProducts[[#This Row],[Rating]]&lt;3),"High Discount + Low Rating","Doesn't meet Criteria"))</f>
        <v>Doesn't meet Criteria</v>
      </c>
      <c r="P12" s="4" t="str">
        <f>IF(OR(tblProducts[[#This Row],[Review]]="",tblProducts[[#This Row],[Discount]]=""),"Missing Entry",IF(AND(tblProducts[[#This Row],[Discount]]&gt;=40%,tblProducts[[#This Row],[Review]]&lt;15),"High Discount + Low Engagement","Doesn't meet Criteria"))</f>
        <v>Doesn't meet Criteria</v>
      </c>
      <c r="Q12" s="4" t="str">
        <f>IF(OR(tblProducts[[#This Row],[Review]]="",tblProducts[[#This Row],[Rating]]=""),"Missing Entry",IF(AND(tblProducts[[#This Row],[Review]]&gt;=15,tblProducts[[#This Row],[Rating]]&gt;=3,tblProducts[[#This Row],[Rating]]&lt;=4.5),"Many Reviews + Average Rating","Doesn't meet Criteria"))</f>
        <v>Doesn't meet Criteria</v>
      </c>
      <c r="R12" s="4" t="str">
        <f>IF(OR(tblProducts[[#This Row],[Review]]="",tblProducts[[#This Row],[Rating]]=""),"Missing Entry",IF(AND(tblProducts[[#This Row],[Review]]&gt;=15,tblProducts[[#This Row],[Rating]]&gt;4.5),"Strong Engagement + Excellent Rating","Doesn't meet criteria"))</f>
        <v>Doesn't meet criteria</v>
      </c>
    </row>
    <row r="13" spans="1:18" hidden="1" x14ac:dyDescent="0.35">
      <c r="A13" s="4" t="s">
        <v>44</v>
      </c>
      <c r="B13" s="6">
        <v>990</v>
      </c>
      <c r="C13" s="8">
        <v>1500</v>
      </c>
      <c r="D13" s="18" t="str">
        <f t="shared" si="0"/>
        <v>OK</v>
      </c>
      <c r="E13" s="21" t="str">
        <f t="shared" si="1"/>
        <v>Medium Price</v>
      </c>
      <c r="F13" s="9">
        <f t="shared" si="2"/>
        <v>510</v>
      </c>
      <c r="G13" s="14">
        <v>0.34</v>
      </c>
      <c r="H13" s="16" t="str">
        <f t="shared" si="3"/>
        <v>OK</v>
      </c>
      <c r="I13" s="16" t="str">
        <f t="shared" si="4"/>
        <v>Medium Discount</v>
      </c>
      <c r="J13" s="11">
        <v>39</v>
      </c>
      <c r="K13" s="11" t="str">
        <f>IF(tblProducts[[#This Row],[Review]]="","Missing Entry",IF(tblProducts[[#This Row],[Review]]&gt;=Review_Q3, "Strong  Customer Engagement","Low Customer Engagement"))</f>
        <v>Strong  Customer Engagement</v>
      </c>
      <c r="L13" s="23">
        <v>4.7</v>
      </c>
      <c r="M13" t="str">
        <f t="shared" si="5"/>
        <v>OK</v>
      </c>
      <c r="N13" s="4" t="str">
        <f t="shared" si="6"/>
        <v>Excellent</v>
      </c>
      <c r="O13" s="4" t="str">
        <f>IF(OR(tblProducts[[#This Row],[Discount]]="",tblProducts[[#This Row],[Rating]]=""),"Missing Entry",IF(AND(tblProducts[[#This Row],[Discount]]&gt;=40%,tblProducts[[#This Row],[Rating]]&lt;3),"High Discount + Low Rating","Doesn't meet Criteria"))</f>
        <v>Doesn't meet Criteria</v>
      </c>
      <c r="P13" s="4" t="str">
        <f>IF(OR(tblProducts[[#This Row],[Review]]="",tblProducts[[#This Row],[Discount]]=""),"Missing Entry",IF(AND(tblProducts[[#This Row],[Discount]]&gt;=40%,tblProducts[[#This Row],[Review]]&lt;15),"High Discount + Low Engagement","Doesn't meet Criteria"))</f>
        <v>Doesn't meet Criteria</v>
      </c>
      <c r="Q13" s="4" t="str">
        <f>IF(OR(tblProducts[[#This Row],[Review]]="",tblProducts[[#This Row],[Rating]]=""),"Missing Entry",IF(AND(tblProducts[[#This Row],[Review]]&gt;=15,tblProducts[[#This Row],[Rating]]&gt;=3,tblProducts[[#This Row],[Rating]]&lt;=4.5),"Many Reviews + Average Rating","Doesn't meet Criteria"))</f>
        <v>Doesn't meet Criteria</v>
      </c>
      <c r="R13" s="4" t="str">
        <f>IF(OR(tblProducts[[#This Row],[Review]]="",tblProducts[[#This Row],[Rating]]=""),"Missing Entry",IF(AND(tblProducts[[#This Row],[Review]]&gt;=15,tblProducts[[#This Row],[Rating]]&gt;4.5),"Strong Engagement + Excellent Rating","Doesn't meet criteria"))</f>
        <v>Strong Engagement + Excellent Rating</v>
      </c>
    </row>
    <row r="14" spans="1:18" hidden="1" x14ac:dyDescent="0.35">
      <c r="A14" s="4" t="s">
        <v>464</v>
      </c>
      <c r="B14" s="6">
        <v>552</v>
      </c>
      <c r="C14" s="8">
        <v>1035</v>
      </c>
      <c r="D14" s="18" t="str">
        <f t="shared" si="0"/>
        <v>OK</v>
      </c>
      <c r="E14" s="21" t="str">
        <f t="shared" si="1"/>
        <v>Medium Price</v>
      </c>
      <c r="F14" s="9">
        <f t="shared" si="2"/>
        <v>483</v>
      </c>
      <c r="G14" s="14">
        <v>0.47</v>
      </c>
      <c r="H14" s="16" t="str">
        <f t="shared" si="3"/>
        <v>OK</v>
      </c>
      <c r="I14" s="16" t="str">
        <f t="shared" si="4"/>
        <v>High Discount</v>
      </c>
      <c r="J14" s="11">
        <v>12</v>
      </c>
      <c r="K14" s="11" t="str">
        <f>IF(tblProducts[[#This Row],[Review]]="","Missing Entry",IF(tblProducts[[#This Row],[Review]]&gt;=Review_Q3, "Strong  Customer Engagement","Low Customer Engagement"))</f>
        <v>Low Customer Engagement</v>
      </c>
      <c r="L14" s="23">
        <v>4.8</v>
      </c>
      <c r="M14" t="str">
        <f t="shared" si="5"/>
        <v>OK</v>
      </c>
      <c r="N14" s="4" t="str">
        <f t="shared" si="6"/>
        <v>Excellent</v>
      </c>
      <c r="O14" s="4" t="str">
        <f>IF(OR(tblProducts[[#This Row],[Discount]]="",tblProducts[[#This Row],[Rating]]=""),"Missing Entry",IF(AND(tblProducts[[#This Row],[Discount]]&gt;=40%,tblProducts[[#This Row],[Rating]]&lt;3),"High Discount + Low Rating","Doesn't meet Criteria"))</f>
        <v>Doesn't meet Criteria</v>
      </c>
      <c r="P14" s="4" t="str">
        <f>IF(OR(tblProducts[[#This Row],[Review]]="",tblProducts[[#This Row],[Discount]]=""),"Missing Entry",IF(AND(tblProducts[[#This Row],[Discount]]&gt;=40%,tblProducts[[#This Row],[Review]]&lt;15),"High Discount + Low Engagement","Doesn't meet Criteria"))</f>
        <v>High Discount + Low Engagement</v>
      </c>
      <c r="Q14" s="4" t="str">
        <f>IF(OR(tblProducts[[#This Row],[Review]]="",tblProducts[[#This Row],[Rating]]=""),"Missing Entry",IF(AND(tblProducts[[#This Row],[Review]]&gt;=15,tblProducts[[#This Row],[Rating]]&gt;=3,tblProducts[[#This Row],[Rating]]&lt;=4.5),"Many Reviews + Average Rating","Doesn't meet Criteria"))</f>
        <v>Doesn't meet Criteria</v>
      </c>
      <c r="R14" s="4" t="str">
        <f>IF(OR(tblProducts[[#This Row],[Review]]="",tblProducts[[#This Row],[Rating]]=""),"Missing Entry",IF(AND(tblProducts[[#This Row],[Review]]&gt;=15,tblProducts[[#This Row],[Rating]]&gt;4.5),"Strong Engagement + Excellent Rating","Doesn't meet criteria"))</f>
        <v>Doesn't meet criteria</v>
      </c>
    </row>
    <row r="15" spans="1:18" hidden="1" x14ac:dyDescent="0.35">
      <c r="A15" s="4" t="s">
        <v>342</v>
      </c>
      <c r="B15" s="6">
        <v>501</v>
      </c>
      <c r="C15" s="8">
        <v>860</v>
      </c>
      <c r="D15" s="18" t="str">
        <f t="shared" si="0"/>
        <v>OK</v>
      </c>
      <c r="E15" s="21" t="str">
        <f t="shared" si="1"/>
        <v>Medium Price</v>
      </c>
      <c r="F15" s="9">
        <f t="shared" si="2"/>
        <v>359</v>
      </c>
      <c r="G15" s="14">
        <v>0.42</v>
      </c>
      <c r="H15" s="16" t="str">
        <f t="shared" si="3"/>
        <v>OK</v>
      </c>
      <c r="I15" s="16" t="str">
        <f t="shared" si="4"/>
        <v>High Discount</v>
      </c>
      <c r="J15" s="11">
        <v>6</v>
      </c>
      <c r="K15" s="11" t="str">
        <f>IF(tblProducts[[#This Row],[Review]]="","Missing Entry",IF(tblProducts[[#This Row],[Review]]&gt;=Review_Q3, "Strong  Customer Engagement","Low Customer Engagement"))</f>
        <v>Low Customer Engagement</v>
      </c>
      <c r="L15" s="23">
        <v>4.5</v>
      </c>
      <c r="M15" t="str">
        <f t="shared" si="5"/>
        <v>OK</v>
      </c>
      <c r="N15" s="4" t="str">
        <f t="shared" si="6"/>
        <v>Average</v>
      </c>
      <c r="O15" s="4" t="str">
        <f>IF(OR(tblProducts[[#This Row],[Discount]]="",tblProducts[[#This Row],[Rating]]=""),"Missing Entry",IF(AND(tblProducts[[#This Row],[Discount]]&gt;=40%,tblProducts[[#This Row],[Rating]]&lt;3),"High Discount + Low Rating","Doesn't meet Criteria"))</f>
        <v>Doesn't meet Criteria</v>
      </c>
      <c r="P15" s="4" t="str">
        <f>IF(OR(tblProducts[[#This Row],[Review]]="",tblProducts[[#This Row],[Discount]]=""),"Missing Entry",IF(AND(tblProducts[[#This Row],[Discount]]&gt;=40%,tblProducts[[#This Row],[Review]]&lt;15),"High Discount + Low Engagement","Doesn't meet Criteria"))</f>
        <v>High Discount + Low Engagement</v>
      </c>
      <c r="Q15" s="4" t="str">
        <f>IF(OR(tblProducts[[#This Row],[Review]]="",tblProducts[[#This Row],[Rating]]=""),"Missing Entry",IF(AND(tblProducts[[#This Row],[Review]]&gt;=15,tblProducts[[#This Row],[Rating]]&gt;=3,tblProducts[[#This Row],[Rating]]&lt;=4.5),"Many Reviews + Average Rating","Doesn't meet Criteria"))</f>
        <v>Doesn't meet Criteria</v>
      </c>
      <c r="R15" s="4" t="str">
        <f>IF(OR(tblProducts[[#This Row],[Review]]="",tblProducts[[#This Row],[Rating]]=""),"Missing Entry",IF(AND(tblProducts[[#This Row],[Review]]&gt;=15,tblProducts[[#This Row],[Rating]]&gt;4.5),"Strong Engagement + Excellent Rating","Doesn't meet criteria"))</f>
        <v>Doesn't meet criteria</v>
      </c>
    </row>
    <row r="16" spans="1:18" hidden="1" x14ac:dyDescent="0.35">
      <c r="A16" s="4" t="s">
        <v>53</v>
      </c>
      <c r="B16" s="6">
        <v>1680</v>
      </c>
      <c r="C16" s="8">
        <v>2499</v>
      </c>
      <c r="D16" s="18" t="str">
        <f t="shared" si="0"/>
        <v>OK</v>
      </c>
      <c r="E16" s="21" t="str">
        <f t="shared" si="1"/>
        <v>High Price</v>
      </c>
      <c r="F16" s="9">
        <f t="shared" si="2"/>
        <v>819</v>
      </c>
      <c r="G16" s="14">
        <v>0.33</v>
      </c>
      <c r="H16" s="16" t="str">
        <f t="shared" si="3"/>
        <v>OK</v>
      </c>
      <c r="I16" s="16" t="str">
        <f t="shared" si="4"/>
        <v>Medium Discount</v>
      </c>
      <c r="J16" s="11">
        <v>9</v>
      </c>
      <c r="K16" s="11" t="str">
        <f>IF(tblProducts[[#This Row],[Review]]="","Missing Entry",IF(tblProducts[[#This Row],[Review]]&gt;=Review_Q3, "Strong  Customer Engagement","Low Customer Engagement"))</f>
        <v>Low Customer Engagement</v>
      </c>
      <c r="L16" s="23">
        <v>4.2</v>
      </c>
      <c r="M16" t="str">
        <f t="shared" si="5"/>
        <v>OK</v>
      </c>
      <c r="N16" s="4" t="str">
        <f t="shared" si="6"/>
        <v>Average</v>
      </c>
      <c r="O16" s="4" t="str">
        <f>IF(OR(tblProducts[[#This Row],[Discount]]="",tblProducts[[#This Row],[Rating]]=""),"Missing Entry",IF(AND(tblProducts[[#This Row],[Discount]]&gt;=40%,tblProducts[[#This Row],[Rating]]&lt;3),"High Discount + Low Rating","Doesn't meet Criteria"))</f>
        <v>Doesn't meet Criteria</v>
      </c>
      <c r="P16" s="4" t="str">
        <f>IF(OR(tblProducts[[#This Row],[Review]]="",tblProducts[[#This Row],[Discount]]=""),"Missing Entry",IF(AND(tblProducts[[#This Row],[Discount]]&gt;=40%,tblProducts[[#This Row],[Review]]&lt;15),"High Discount + Low Engagement","Doesn't meet Criteria"))</f>
        <v>Doesn't meet Criteria</v>
      </c>
      <c r="Q16" s="4" t="str">
        <f>IF(OR(tblProducts[[#This Row],[Review]]="",tblProducts[[#This Row],[Rating]]=""),"Missing Entry",IF(AND(tblProducts[[#This Row],[Review]]&gt;=15,tblProducts[[#This Row],[Rating]]&gt;=3,tblProducts[[#This Row],[Rating]]&lt;=4.5),"Many Reviews + Average Rating","Doesn't meet Criteria"))</f>
        <v>Doesn't meet Criteria</v>
      </c>
      <c r="R16" s="4" t="str">
        <f>IF(OR(tblProducts[[#This Row],[Review]]="",tblProducts[[#This Row],[Rating]]=""),"Missing Entry",IF(AND(tblProducts[[#This Row],[Review]]&gt;=15,tblProducts[[#This Row],[Rating]]&gt;4.5),"Strong Engagement + Excellent Rating","Doesn't meet criteria"))</f>
        <v>Doesn't meet criteria</v>
      </c>
    </row>
    <row r="17" spans="1:18" hidden="1" x14ac:dyDescent="0.35">
      <c r="A17" s="4" t="s">
        <v>56</v>
      </c>
      <c r="B17" s="6">
        <v>332</v>
      </c>
      <c r="C17" s="8">
        <v>684</v>
      </c>
      <c r="D17" s="18" t="str">
        <f t="shared" si="0"/>
        <v>OK</v>
      </c>
      <c r="E17" s="21" t="str">
        <f t="shared" si="1"/>
        <v>Low Price</v>
      </c>
      <c r="F17" s="9">
        <f t="shared" si="2"/>
        <v>352</v>
      </c>
      <c r="G17" s="14">
        <v>0.51</v>
      </c>
      <c r="H17" s="16" t="str">
        <f t="shared" si="3"/>
        <v>OK</v>
      </c>
      <c r="I17" s="16" t="str">
        <f t="shared" si="4"/>
        <v>High Discount</v>
      </c>
      <c r="J17" s="11">
        <v>2</v>
      </c>
      <c r="K17" s="11" t="str">
        <f>IF(tblProducts[[#This Row],[Review]]="","Missing Entry",IF(tblProducts[[#This Row],[Review]]&gt;=Review_Q3, "Strong  Customer Engagement","Low Customer Engagement"))</f>
        <v>Low Customer Engagement</v>
      </c>
      <c r="L17" s="23">
        <v>5</v>
      </c>
      <c r="M17" t="str">
        <f t="shared" si="5"/>
        <v>OK</v>
      </c>
      <c r="N17" s="4" t="str">
        <f t="shared" si="6"/>
        <v>Excellent</v>
      </c>
      <c r="O17" s="4" t="str">
        <f>IF(OR(tblProducts[[#This Row],[Discount]]="",tblProducts[[#This Row],[Rating]]=""),"Missing Entry",IF(AND(tblProducts[[#This Row],[Discount]]&gt;=40%,tblProducts[[#This Row],[Rating]]&lt;3),"High Discount + Low Rating","Doesn't meet Criteria"))</f>
        <v>Doesn't meet Criteria</v>
      </c>
      <c r="P17" s="4" t="str">
        <f>IF(OR(tblProducts[[#This Row],[Review]]="",tblProducts[[#This Row],[Discount]]=""),"Missing Entry",IF(AND(tblProducts[[#This Row],[Discount]]&gt;=40%,tblProducts[[#This Row],[Review]]&lt;15),"High Discount + Low Engagement","Doesn't meet Criteria"))</f>
        <v>High Discount + Low Engagement</v>
      </c>
      <c r="Q17" s="4" t="str">
        <f>IF(OR(tblProducts[[#This Row],[Review]]="",tblProducts[[#This Row],[Rating]]=""),"Missing Entry",IF(AND(tblProducts[[#This Row],[Review]]&gt;=15,tblProducts[[#This Row],[Rating]]&gt;=3,tblProducts[[#This Row],[Rating]]&lt;=4.5),"Many Reviews + Average Rating","Doesn't meet Criteria"))</f>
        <v>Doesn't meet Criteria</v>
      </c>
      <c r="R17" s="4" t="str">
        <f>IF(OR(tblProducts[[#This Row],[Review]]="",tblProducts[[#This Row],[Rating]]=""),"Missing Entry",IF(AND(tblProducts[[#This Row],[Review]]&gt;=15,tblProducts[[#This Row],[Rating]]&gt;4.5),"Strong Engagement + Excellent Rating","Doesn't meet criteria"))</f>
        <v>Doesn't meet criteria</v>
      </c>
    </row>
    <row r="18" spans="1:18" hidden="1" x14ac:dyDescent="0.35">
      <c r="A18" s="4" t="s">
        <v>60</v>
      </c>
      <c r="B18" s="6">
        <v>195</v>
      </c>
      <c r="C18" s="8">
        <v>360</v>
      </c>
      <c r="D18" s="18" t="str">
        <f t="shared" si="0"/>
        <v>OK</v>
      </c>
      <c r="E18" s="21" t="str">
        <f t="shared" si="1"/>
        <v>Low Price</v>
      </c>
      <c r="F18" s="9">
        <f t="shared" si="2"/>
        <v>165</v>
      </c>
      <c r="G18" s="14">
        <v>0.46</v>
      </c>
      <c r="H18" s="16" t="str">
        <f t="shared" si="3"/>
        <v>OK</v>
      </c>
      <c r="I18" s="16" t="str">
        <f t="shared" si="4"/>
        <v>High Discount</v>
      </c>
      <c r="J18" s="11">
        <v>2</v>
      </c>
      <c r="K18" s="11" t="str">
        <f>IF(tblProducts[[#This Row],[Review]]="","Missing Entry",IF(tblProducts[[#This Row],[Review]]&gt;=Review_Q3, "Strong  Customer Engagement","Low Customer Engagement"))</f>
        <v>Low Customer Engagement</v>
      </c>
      <c r="L18" s="23">
        <v>5</v>
      </c>
      <c r="M18" t="str">
        <f t="shared" si="5"/>
        <v>OK</v>
      </c>
      <c r="N18" s="4" t="str">
        <f t="shared" si="6"/>
        <v>Excellent</v>
      </c>
      <c r="O18" s="4" t="str">
        <f>IF(OR(tblProducts[[#This Row],[Discount]]="",tblProducts[[#This Row],[Rating]]=""),"Missing Entry",IF(AND(tblProducts[[#This Row],[Discount]]&gt;=40%,tblProducts[[#This Row],[Rating]]&lt;3),"High Discount + Low Rating","Doesn't meet Criteria"))</f>
        <v>Doesn't meet Criteria</v>
      </c>
      <c r="P18" s="4" t="str">
        <f>IF(OR(tblProducts[[#This Row],[Review]]="",tblProducts[[#This Row],[Discount]]=""),"Missing Entry",IF(AND(tblProducts[[#This Row],[Discount]]&gt;=40%,tblProducts[[#This Row],[Review]]&lt;15),"High Discount + Low Engagement","Doesn't meet Criteria"))</f>
        <v>High Discount + Low Engagement</v>
      </c>
      <c r="Q18" s="4" t="str">
        <f>IF(OR(tblProducts[[#This Row],[Review]]="",tblProducts[[#This Row],[Rating]]=""),"Missing Entry",IF(AND(tblProducts[[#This Row],[Review]]&gt;=15,tblProducts[[#This Row],[Rating]]&gt;=3,tblProducts[[#This Row],[Rating]]&lt;=4.5),"Many Reviews + Average Rating","Doesn't meet Criteria"))</f>
        <v>Doesn't meet Criteria</v>
      </c>
      <c r="R18" s="4" t="str">
        <f>IF(OR(tblProducts[[#This Row],[Review]]="",tblProducts[[#This Row],[Rating]]=""),"Missing Entry",IF(AND(tblProducts[[#This Row],[Review]]&gt;=15,tblProducts[[#This Row],[Rating]]&gt;4.5),"Strong Engagement + Excellent Rating","Doesn't meet criteria"))</f>
        <v>Doesn't meet criteria</v>
      </c>
    </row>
    <row r="19" spans="1:18" hidden="1" x14ac:dyDescent="0.35">
      <c r="A19" s="4" t="s">
        <v>343</v>
      </c>
      <c r="B19" s="6">
        <v>2025</v>
      </c>
      <c r="C19" s="8">
        <v>3971</v>
      </c>
      <c r="D19" s="18" t="str">
        <f t="shared" si="0"/>
        <v>OK</v>
      </c>
      <c r="E19" s="21" t="str">
        <f t="shared" si="1"/>
        <v>High Price</v>
      </c>
      <c r="F19" s="9">
        <f t="shared" si="2"/>
        <v>1946</v>
      </c>
      <c r="G19" s="14">
        <v>0.49</v>
      </c>
      <c r="H19" s="16" t="str">
        <f t="shared" si="3"/>
        <v>OK</v>
      </c>
      <c r="I19" s="16" t="str">
        <f t="shared" si="4"/>
        <v>High Discount</v>
      </c>
      <c r="J19" s="11">
        <v>3</v>
      </c>
      <c r="K19" s="11" t="str">
        <f>IF(tblProducts[[#This Row],[Review]]="","Missing Entry",IF(tblProducts[[#This Row],[Review]]&gt;=Review_Q3, "Strong  Customer Engagement","Low Customer Engagement"))</f>
        <v>Low Customer Engagement</v>
      </c>
      <c r="L19" s="23">
        <v>5</v>
      </c>
      <c r="M19" t="str">
        <f t="shared" si="5"/>
        <v>OK</v>
      </c>
      <c r="N19" s="4" t="str">
        <f t="shared" si="6"/>
        <v>Excellent</v>
      </c>
      <c r="O19" s="4" t="str">
        <f>IF(OR(tblProducts[[#This Row],[Discount]]="",tblProducts[[#This Row],[Rating]]=""),"Missing Entry",IF(AND(tblProducts[[#This Row],[Discount]]&gt;=40%,tblProducts[[#This Row],[Rating]]&lt;3),"High Discount + Low Rating","Doesn't meet Criteria"))</f>
        <v>Doesn't meet Criteria</v>
      </c>
      <c r="P19" s="4" t="str">
        <f>IF(OR(tblProducts[[#This Row],[Review]]="",tblProducts[[#This Row],[Discount]]=""),"Missing Entry",IF(AND(tblProducts[[#This Row],[Discount]]&gt;=40%,tblProducts[[#This Row],[Review]]&lt;15),"High Discount + Low Engagement","Doesn't meet Criteria"))</f>
        <v>High Discount + Low Engagement</v>
      </c>
      <c r="Q19" s="4" t="str">
        <f>IF(OR(tblProducts[[#This Row],[Review]]="",tblProducts[[#This Row],[Rating]]=""),"Missing Entry",IF(AND(tblProducts[[#This Row],[Review]]&gt;=15,tblProducts[[#This Row],[Rating]]&gt;=3,tblProducts[[#This Row],[Rating]]&lt;=4.5),"Many Reviews + Average Rating","Doesn't meet Criteria"))</f>
        <v>Doesn't meet Criteria</v>
      </c>
      <c r="R19" s="4" t="str">
        <f>IF(OR(tblProducts[[#This Row],[Review]]="",tblProducts[[#This Row],[Rating]]=""),"Missing Entry",IF(AND(tblProducts[[#This Row],[Review]]&gt;=15,tblProducts[[#This Row],[Rating]]&gt;4.5),"Strong Engagement + Excellent Rating","Doesn't meet criteria"))</f>
        <v>Doesn't meet criteria</v>
      </c>
    </row>
    <row r="20" spans="1:18" hidden="1" x14ac:dyDescent="0.35">
      <c r="A20" s="4" t="s">
        <v>344</v>
      </c>
      <c r="B20" s="6">
        <v>2999</v>
      </c>
      <c r="C20" s="8">
        <v>3699</v>
      </c>
      <c r="D20" s="18" t="str">
        <f t="shared" si="0"/>
        <v>OK</v>
      </c>
      <c r="E20" s="21" t="str">
        <f t="shared" si="1"/>
        <v>High Price</v>
      </c>
      <c r="F20" s="9">
        <f t="shared" si="2"/>
        <v>700</v>
      </c>
      <c r="G20" s="14">
        <v>0.19</v>
      </c>
      <c r="H20" s="16" t="str">
        <f t="shared" si="3"/>
        <v>OK</v>
      </c>
      <c r="I20" s="16" t="str">
        <f t="shared" si="4"/>
        <v>Low Discount</v>
      </c>
      <c r="J20" s="11">
        <v>5</v>
      </c>
      <c r="K20" s="11" t="str">
        <f>IF(tblProducts[[#This Row],[Review]]="","Missing Entry",IF(tblProducts[[#This Row],[Review]]&gt;=Review_Q3, "Strong  Customer Engagement","Low Customer Engagement"))</f>
        <v>Low Customer Engagement</v>
      </c>
      <c r="L20" s="23">
        <v>4.5999999999999996</v>
      </c>
      <c r="M20" t="str">
        <f t="shared" si="5"/>
        <v>OK</v>
      </c>
      <c r="N20" s="4" t="str">
        <f t="shared" si="6"/>
        <v>Excellent</v>
      </c>
      <c r="O20" s="4" t="str">
        <f>IF(OR(tblProducts[[#This Row],[Discount]]="",tblProducts[[#This Row],[Rating]]=""),"Missing Entry",IF(AND(tblProducts[[#This Row],[Discount]]&gt;=40%,tblProducts[[#This Row],[Rating]]&lt;3),"High Discount + Low Rating","Doesn't meet Criteria"))</f>
        <v>Doesn't meet Criteria</v>
      </c>
      <c r="P20" s="4" t="str">
        <f>IF(OR(tblProducts[[#This Row],[Review]]="",tblProducts[[#This Row],[Discount]]=""),"Missing Entry",IF(AND(tblProducts[[#This Row],[Discount]]&gt;=40%,tblProducts[[#This Row],[Review]]&lt;15),"High Discount + Low Engagement","Doesn't meet Criteria"))</f>
        <v>Doesn't meet Criteria</v>
      </c>
      <c r="Q20" s="4" t="str">
        <f>IF(OR(tblProducts[[#This Row],[Review]]="",tblProducts[[#This Row],[Rating]]=""),"Missing Entry",IF(AND(tblProducts[[#This Row],[Review]]&gt;=15,tblProducts[[#This Row],[Rating]]&gt;=3,tblProducts[[#This Row],[Rating]]&lt;=4.5),"Many Reviews + Average Rating","Doesn't meet Criteria"))</f>
        <v>Doesn't meet Criteria</v>
      </c>
      <c r="R20" s="4" t="str">
        <f>IF(OR(tblProducts[[#This Row],[Review]]="",tblProducts[[#This Row],[Rating]]=""),"Missing Entry",IF(AND(tblProducts[[#This Row],[Review]]&gt;=15,tblProducts[[#This Row],[Rating]]&gt;4.5),"Strong Engagement + Excellent Rating","Doesn't meet criteria"))</f>
        <v>Doesn't meet criteria</v>
      </c>
    </row>
    <row r="21" spans="1:18" hidden="1" x14ac:dyDescent="0.35">
      <c r="A21" s="4" t="s">
        <v>345</v>
      </c>
      <c r="B21" s="6">
        <v>998</v>
      </c>
      <c r="C21" s="8">
        <v>1966</v>
      </c>
      <c r="D21" s="18" t="str">
        <f t="shared" si="0"/>
        <v>OK</v>
      </c>
      <c r="E21" s="21" t="str">
        <f t="shared" si="1"/>
        <v>Medium Price</v>
      </c>
      <c r="F21" s="9">
        <f t="shared" si="2"/>
        <v>968</v>
      </c>
      <c r="G21" s="14">
        <v>0.49</v>
      </c>
      <c r="H21" s="16" t="str">
        <f t="shared" si="3"/>
        <v>OK</v>
      </c>
      <c r="I21" s="16" t="str">
        <f t="shared" si="4"/>
        <v>High Discount</v>
      </c>
      <c r="J21" s="11">
        <v>44</v>
      </c>
      <c r="K21" s="11" t="str">
        <f>IF(tblProducts[[#This Row],[Review]]="","Missing Entry",IF(tblProducts[[#This Row],[Review]]&gt;=Review_Q3, "Strong  Customer Engagement","Low Customer Engagement"))</f>
        <v>Strong  Customer Engagement</v>
      </c>
      <c r="L21" s="23">
        <v>4.5999999999999996</v>
      </c>
      <c r="M21" t="str">
        <f t="shared" si="5"/>
        <v>OK</v>
      </c>
      <c r="N21" s="4" t="str">
        <f t="shared" si="6"/>
        <v>Excellent</v>
      </c>
      <c r="O21" s="4" t="str">
        <f>IF(OR(tblProducts[[#This Row],[Discount]]="",tblProducts[[#This Row],[Rating]]=""),"Missing Entry",IF(AND(tblProducts[[#This Row],[Discount]]&gt;=40%,tblProducts[[#This Row],[Rating]]&lt;3),"High Discount + Low Rating","Doesn't meet Criteria"))</f>
        <v>Doesn't meet Criteria</v>
      </c>
      <c r="P21" s="4" t="str">
        <f>IF(OR(tblProducts[[#This Row],[Review]]="",tblProducts[[#This Row],[Discount]]=""),"Missing Entry",IF(AND(tblProducts[[#This Row],[Discount]]&gt;=40%,tblProducts[[#This Row],[Review]]&lt;15),"High Discount + Low Engagement","Doesn't meet Criteria"))</f>
        <v>Doesn't meet Criteria</v>
      </c>
      <c r="Q21" s="4" t="str">
        <f>IF(OR(tblProducts[[#This Row],[Review]]="",tblProducts[[#This Row],[Rating]]=""),"Missing Entry",IF(AND(tblProducts[[#This Row],[Review]]&gt;=15,tblProducts[[#This Row],[Rating]]&gt;=3,tblProducts[[#This Row],[Rating]]&lt;=4.5),"Many Reviews + Average Rating","Doesn't meet Criteria"))</f>
        <v>Doesn't meet Criteria</v>
      </c>
      <c r="R21" s="4" t="str">
        <f>IF(OR(tblProducts[[#This Row],[Review]]="",tblProducts[[#This Row],[Rating]]=""),"Missing Entry",IF(AND(tblProducts[[#This Row],[Review]]&gt;=15,tblProducts[[#This Row],[Rating]]&gt;4.5),"Strong Engagement + Excellent Rating","Doesn't meet criteria"))</f>
        <v>Strong Engagement + Excellent Rating</v>
      </c>
    </row>
    <row r="22" spans="1:18" hidden="1" x14ac:dyDescent="0.35">
      <c r="A22" s="4" t="s">
        <v>346</v>
      </c>
      <c r="B22" s="6">
        <v>38</v>
      </c>
      <c r="C22" s="8">
        <v>80</v>
      </c>
      <c r="D22" s="18" t="str">
        <f t="shared" si="0"/>
        <v>OK</v>
      </c>
      <c r="E22" s="21" t="str">
        <f t="shared" si="1"/>
        <v>Low Price</v>
      </c>
      <c r="F22" s="9">
        <f t="shared" si="2"/>
        <v>42</v>
      </c>
      <c r="G22" s="14">
        <v>0.53</v>
      </c>
      <c r="H22" s="16" t="str">
        <f t="shared" si="3"/>
        <v>OK</v>
      </c>
      <c r="I22" s="16" t="str">
        <f t="shared" si="4"/>
        <v>High Discount</v>
      </c>
      <c r="J22" s="11">
        <v>13</v>
      </c>
      <c r="K22" s="11" t="str">
        <f>IF(tblProducts[[#This Row],[Review]]="","Missing Entry",IF(tblProducts[[#This Row],[Review]]&gt;=Review_Q3, "Strong  Customer Engagement","Low Customer Engagement"))</f>
        <v>Low Customer Engagement</v>
      </c>
      <c r="L22" s="23">
        <v>3.3</v>
      </c>
      <c r="M22" t="str">
        <f t="shared" si="5"/>
        <v>OK</v>
      </c>
      <c r="N22" s="4" t="str">
        <f t="shared" si="6"/>
        <v>Average</v>
      </c>
      <c r="O22" s="4" t="str">
        <f>IF(OR(tblProducts[[#This Row],[Discount]]="",tblProducts[[#This Row],[Rating]]=""),"Missing Entry",IF(AND(tblProducts[[#This Row],[Discount]]&gt;=40%,tblProducts[[#This Row],[Rating]]&lt;3),"High Discount + Low Rating","Doesn't meet Criteria"))</f>
        <v>Doesn't meet Criteria</v>
      </c>
      <c r="P22" s="4" t="str">
        <f>IF(OR(tblProducts[[#This Row],[Review]]="",tblProducts[[#This Row],[Discount]]=""),"Missing Entry",IF(AND(tblProducts[[#This Row],[Discount]]&gt;=40%,tblProducts[[#This Row],[Review]]&lt;15),"High Discount + Low Engagement","Doesn't meet Criteria"))</f>
        <v>High Discount + Low Engagement</v>
      </c>
      <c r="Q22" s="4" t="str">
        <f>IF(OR(tblProducts[[#This Row],[Review]]="",tblProducts[[#This Row],[Rating]]=""),"Missing Entry",IF(AND(tblProducts[[#This Row],[Review]]&gt;=15,tblProducts[[#This Row],[Rating]]&gt;=3,tblProducts[[#This Row],[Rating]]&lt;=4.5),"Many Reviews + Average Rating","Doesn't meet Criteria"))</f>
        <v>Doesn't meet Criteria</v>
      </c>
      <c r="R22" s="4" t="str">
        <f>IF(OR(tblProducts[[#This Row],[Review]]="",tblProducts[[#This Row],[Rating]]=""),"Missing Entry",IF(AND(tblProducts[[#This Row],[Review]]&gt;=15,tblProducts[[#This Row],[Rating]]&gt;4.5),"Strong Engagement + Excellent Rating","Doesn't meet criteria"))</f>
        <v>Doesn't meet criteria</v>
      </c>
    </row>
    <row r="23" spans="1:18" x14ac:dyDescent="0.35">
      <c r="A23" s="4" t="s">
        <v>347</v>
      </c>
      <c r="B23" s="6">
        <v>1860</v>
      </c>
      <c r="C23" s="8">
        <v>3220</v>
      </c>
      <c r="D23" s="18" t="str">
        <f t="shared" si="0"/>
        <v>OK</v>
      </c>
      <c r="E23" s="21" t="str">
        <f t="shared" si="1"/>
        <v>High Price</v>
      </c>
      <c r="F23" s="9">
        <f t="shared" si="2"/>
        <v>1360</v>
      </c>
      <c r="G23" s="14">
        <v>0.42</v>
      </c>
      <c r="H23" s="16" t="str">
        <f t="shared" si="3"/>
        <v>OK</v>
      </c>
      <c r="I23" s="16" t="str">
        <f t="shared" si="4"/>
        <v>High Discount</v>
      </c>
      <c r="J23" s="11"/>
      <c r="K23" s="11" t="str">
        <f>IF(tblProducts[[#This Row],[Review]]="","Missing Entry",IF(tblProducts[[#This Row],[Review]]&gt;=Review_Q3, "Strong  Customer Engagement","Low Customer Engagement"))</f>
        <v>Missing Entry</v>
      </c>
      <c r="M23" t="str">
        <f t="shared" si="5"/>
        <v>Missing Entry</v>
      </c>
      <c r="N23" s="4" t="str">
        <f t="shared" si="6"/>
        <v>Missing</v>
      </c>
      <c r="O23" s="4" t="str">
        <f>IF(OR(tblProducts[[#This Row],[Discount]]="",tblProducts[[#This Row],[Rating]]=""),"Missing Entry",IF(AND(tblProducts[[#This Row],[Discount]]&gt;=40%,tblProducts[[#This Row],[Rating]]&lt;3),"High Discount + Low Rating","Doesn't meet Criteria"))</f>
        <v>Missing Entry</v>
      </c>
      <c r="P23" s="4" t="str">
        <f>IF(OR(tblProducts[[#This Row],[Review]]="",tblProducts[[#This Row],[Discount]]=""),"Missing Entry",IF(AND(tblProducts[[#This Row],[Discount]]&gt;=40%,tblProducts[[#This Row],[Review]]&lt;15),"High Discount + Low Engagement","Doesn't meet Criteria"))</f>
        <v>Missing Entry</v>
      </c>
      <c r="Q23" s="4" t="str">
        <f>IF(OR(tblProducts[[#This Row],[Review]]="",tblProducts[[#This Row],[Rating]]=""),"Missing Entry",IF(AND(tblProducts[[#This Row],[Review]]&gt;=15,tblProducts[[#This Row],[Rating]]&gt;=3,tblProducts[[#This Row],[Rating]]&lt;=4.5),"Many Reviews + Average Rating","Doesn't meet Criteria"))</f>
        <v>Missing Entry</v>
      </c>
      <c r="R23" s="4" t="str">
        <f>IF(OR(tblProducts[[#This Row],[Review]]="",tblProducts[[#This Row],[Rating]]=""),"Missing Entry",IF(AND(tblProducts[[#This Row],[Review]]&gt;=15,tblProducts[[#This Row],[Rating]]&gt;4.5),"Strong Engagement + Excellent Rating","Doesn't meet criteria"))</f>
        <v>Missing Entry</v>
      </c>
    </row>
    <row r="24" spans="1:18" hidden="1" x14ac:dyDescent="0.35">
      <c r="A24" s="4" t="s">
        <v>348</v>
      </c>
      <c r="B24" s="6">
        <v>880</v>
      </c>
      <c r="C24" s="8">
        <v>1350</v>
      </c>
      <c r="D24" s="18" t="str">
        <f t="shared" si="0"/>
        <v>OK</v>
      </c>
      <c r="E24" s="21" t="str">
        <f t="shared" si="1"/>
        <v>Medium Price</v>
      </c>
      <c r="F24" s="9">
        <f t="shared" si="2"/>
        <v>470</v>
      </c>
      <c r="G24" s="14">
        <v>0.35</v>
      </c>
      <c r="H24" s="16" t="str">
        <f t="shared" si="3"/>
        <v>OK</v>
      </c>
      <c r="I24" s="16" t="str">
        <f t="shared" si="4"/>
        <v>Medium Discount</v>
      </c>
      <c r="J24" s="11">
        <v>6</v>
      </c>
      <c r="K24" s="11" t="str">
        <f>IF(tblProducts[[#This Row],[Review]]="","Missing Entry",IF(tblProducts[[#This Row],[Review]]&gt;=Review_Q3, "Strong  Customer Engagement","Low Customer Engagement"))</f>
        <v>Low Customer Engagement</v>
      </c>
      <c r="L24" s="23">
        <v>4</v>
      </c>
      <c r="M24" t="str">
        <f t="shared" si="5"/>
        <v>OK</v>
      </c>
      <c r="N24" s="4" t="str">
        <f t="shared" si="6"/>
        <v>Average</v>
      </c>
      <c r="O24" s="4" t="str">
        <f>IF(OR(tblProducts[[#This Row],[Discount]]="",tblProducts[[#This Row],[Rating]]=""),"Missing Entry",IF(AND(tblProducts[[#This Row],[Discount]]&gt;=40%,tblProducts[[#This Row],[Rating]]&lt;3),"High Discount + Low Rating","Doesn't meet Criteria"))</f>
        <v>Doesn't meet Criteria</v>
      </c>
      <c r="P24" s="4" t="str">
        <f>IF(OR(tblProducts[[#This Row],[Review]]="",tblProducts[[#This Row],[Discount]]=""),"Missing Entry",IF(AND(tblProducts[[#This Row],[Discount]]&gt;=40%,tblProducts[[#This Row],[Review]]&lt;15),"High Discount + Low Engagement","Doesn't meet Criteria"))</f>
        <v>Doesn't meet Criteria</v>
      </c>
      <c r="Q24" s="4" t="str">
        <f>IF(OR(tblProducts[[#This Row],[Review]]="",tblProducts[[#This Row],[Rating]]=""),"Missing Entry",IF(AND(tblProducts[[#This Row],[Review]]&gt;=15,tblProducts[[#This Row],[Rating]]&gt;=3,tblProducts[[#This Row],[Rating]]&lt;=4.5),"Many Reviews + Average Rating","Doesn't meet Criteria"))</f>
        <v>Doesn't meet Criteria</v>
      </c>
      <c r="R24" s="4" t="str">
        <f>IF(OR(tblProducts[[#This Row],[Review]]="",tblProducts[[#This Row],[Rating]]=""),"Missing Entry",IF(AND(tblProducts[[#This Row],[Review]]&gt;=15,tblProducts[[#This Row],[Rating]]&gt;4.5),"Strong Engagement + Excellent Rating","Doesn't meet criteria"))</f>
        <v>Doesn't meet criteria</v>
      </c>
    </row>
    <row r="25" spans="1:18" hidden="1" x14ac:dyDescent="0.35">
      <c r="A25" s="4" t="s">
        <v>81</v>
      </c>
      <c r="B25" s="6">
        <v>1650</v>
      </c>
      <c r="C25" s="8">
        <v>2150</v>
      </c>
      <c r="D25" s="18" t="str">
        <f t="shared" si="0"/>
        <v>OK</v>
      </c>
      <c r="E25" s="21" t="str">
        <f t="shared" si="1"/>
        <v>Medium Price</v>
      </c>
      <c r="F25" s="9">
        <f t="shared" si="2"/>
        <v>500</v>
      </c>
      <c r="G25" s="14">
        <v>0.23</v>
      </c>
      <c r="H25" s="16" t="str">
        <f t="shared" si="3"/>
        <v>OK</v>
      </c>
      <c r="I25" s="16" t="str">
        <f t="shared" si="4"/>
        <v>Medium Discount</v>
      </c>
      <c r="J25" s="11">
        <v>14</v>
      </c>
      <c r="K25" s="11" t="str">
        <f>IF(tblProducts[[#This Row],[Review]]="","Missing Entry",IF(tblProducts[[#This Row],[Review]]&gt;=Review_Q3, "Strong  Customer Engagement","Low Customer Engagement"))</f>
        <v>Low Customer Engagement</v>
      </c>
      <c r="L25" s="23">
        <v>4.4000000000000004</v>
      </c>
      <c r="M25" t="str">
        <f t="shared" si="5"/>
        <v>OK</v>
      </c>
      <c r="N25" s="4" t="str">
        <f t="shared" si="6"/>
        <v>Average</v>
      </c>
      <c r="O25" s="4" t="str">
        <f>IF(OR(tblProducts[[#This Row],[Discount]]="",tblProducts[[#This Row],[Rating]]=""),"Missing Entry",IF(AND(tblProducts[[#This Row],[Discount]]&gt;=40%,tblProducts[[#This Row],[Rating]]&lt;3),"High Discount + Low Rating","Doesn't meet Criteria"))</f>
        <v>Doesn't meet Criteria</v>
      </c>
      <c r="P25" s="4" t="str">
        <f>IF(OR(tblProducts[[#This Row],[Review]]="",tblProducts[[#This Row],[Discount]]=""),"Missing Entry",IF(AND(tblProducts[[#This Row],[Discount]]&gt;=40%,tblProducts[[#This Row],[Review]]&lt;15),"High Discount + Low Engagement","Doesn't meet Criteria"))</f>
        <v>Doesn't meet Criteria</v>
      </c>
      <c r="Q25" s="4" t="str">
        <f>IF(OR(tblProducts[[#This Row],[Review]]="",tblProducts[[#This Row],[Rating]]=""),"Missing Entry",IF(AND(tblProducts[[#This Row],[Review]]&gt;=15,tblProducts[[#This Row],[Rating]]&gt;=3,tblProducts[[#This Row],[Rating]]&lt;=4.5),"Many Reviews + Average Rating","Doesn't meet Criteria"))</f>
        <v>Doesn't meet Criteria</v>
      </c>
      <c r="R25" s="4" t="str">
        <f>IF(OR(tblProducts[[#This Row],[Review]]="",tblProducts[[#This Row],[Rating]]=""),"Missing Entry",IF(AND(tblProducts[[#This Row],[Review]]&gt;=15,tblProducts[[#This Row],[Rating]]&gt;4.5),"Strong Engagement + Excellent Rating","Doesn't meet criteria"))</f>
        <v>Doesn't meet criteria</v>
      </c>
    </row>
    <row r="26" spans="1:18" hidden="1" x14ac:dyDescent="0.35">
      <c r="A26" s="4" t="s">
        <v>349</v>
      </c>
      <c r="B26" s="6">
        <v>2048</v>
      </c>
      <c r="C26" s="8">
        <v>4500</v>
      </c>
      <c r="D26" s="18" t="str">
        <f t="shared" si="0"/>
        <v>OK</v>
      </c>
      <c r="E26" s="21" t="str">
        <f t="shared" si="1"/>
        <v>High Price</v>
      </c>
      <c r="F26" s="9">
        <f t="shared" si="2"/>
        <v>2452</v>
      </c>
      <c r="G26" s="14">
        <v>0.54</v>
      </c>
      <c r="H26" s="16" t="str">
        <f t="shared" si="3"/>
        <v>OK</v>
      </c>
      <c r="I26" s="16" t="str">
        <f t="shared" si="4"/>
        <v>High Discount</v>
      </c>
      <c r="J26" s="11">
        <v>7</v>
      </c>
      <c r="K26" s="11" t="str">
        <f>IF(tblProducts[[#This Row],[Review]]="","Missing Entry",IF(tblProducts[[#This Row],[Review]]&gt;=Review_Q3, "Strong  Customer Engagement","Low Customer Engagement"))</f>
        <v>Low Customer Engagement</v>
      </c>
      <c r="L26" s="23">
        <v>4.3</v>
      </c>
      <c r="M26" t="str">
        <f t="shared" si="5"/>
        <v>OK</v>
      </c>
      <c r="N26" s="4" t="str">
        <f t="shared" si="6"/>
        <v>Average</v>
      </c>
      <c r="O26" s="4" t="str">
        <f>IF(OR(tblProducts[[#This Row],[Discount]]="",tblProducts[[#This Row],[Rating]]=""),"Missing Entry",IF(AND(tblProducts[[#This Row],[Discount]]&gt;=40%,tblProducts[[#This Row],[Rating]]&lt;3),"High Discount + Low Rating","Doesn't meet Criteria"))</f>
        <v>Doesn't meet Criteria</v>
      </c>
      <c r="P26" s="4" t="str">
        <f>IF(OR(tblProducts[[#This Row],[Review]]="",tblProducts[[#This Row],[Discount]]=""),"Missing Entry",IF(AND(tblProducts[[#This Row],[Discount]]&gt;=40%,tblProducts[[#This Row],[Review]]&lt;15),"High Discount + Low Engagement","Doesn't meet Criteria"))</f>
        <v>High Discount + Low Engagement</v>
      </c>
      <c r="Q26" s="4" t="str">
        <f>IF(OR(tblProducts[[#This Row],[Review]]="",tblProducts[[#This Row],[Rating]]=""),"Missing Entry",IF(AND(tblProducts[[#This Row],[Review]]&gt;=15,tblProducts[[#This Row],[Rating]]&gt;=3,tblProducts[[#This Row],[Rating]]&lt;=4.5),"Many Reviews + Average Rating","Doesn't meet Criteria"))</f>
        <v>Doesn't meet Criteria</v>
      </c>
      <c r="R26" s="4" t="str">
        <f>IF(OR(tblProducts[[#This Row],[Review]]="",tblProducts[[#This Row],[Rating]]=""),"Missing Entry",IF(AND(tblProducts[[#This Row],[Review]]&gt;=15,tblProducts[[#This Row],[Rating]]&gt;4.5),"Strong Engagement + Excellent Rating","Doesn't meet criteria"))</f>
        <v>Doesn't meet criteria</v>
      </c>
    </row>
    <row r="27" spans="1:18" hidden="1" x14ac:dyDescent="0.35">
      <c r="A27" s="4" t="s">
        <v>89</v>
      </c>
      <c r="B27" s="6">
        <v>420</v>
      </c>
      <c r="C27" s="8">
        <v>647</v>
      </c>
      <c r="D27" s="18" t="str">
        <f t="shared" si="0"/>
        <v>OK</v>
      </c>
      <c r="E27" s="21" t="str">
        <f t="shared" si="1"/>
        <v>Low Price</v>
      </c>
      <c r="F27" s="9">
        <f t="shared" si="2"/>
        <v>227</v>
      </c>
      <c r="G27" s="14">
        <v>0.35</v>
      </c>
      <c r="H27" s="16" t="str">
        <f t="shared" si="3"/>
        <v>OK</v>
      </c>
      <c r="I27" s="16" t="str">
        <f t="shared" si="4"/>
        <v>Medium Discount</v>
      </c>
      <c r="J27" s="11">
        <v>49</v>
      </c>
      <c r="K27" s="11" t="str">
        <f>IF(tblProducts[[#This Row],[Review]]="","Missing Entry",IF(tblProducts[[#This Row],[Review]]&gt;=Review_Q3, "Strong  Customer Engagement","Low Customer Engagement"))</f>
        <v>Strong  Customer Engagement</v>
      </c>
      <c r="L27" s="23">
        <v>4.5999999999999996</v>
      </c>
      <c r="M27" t="str">
        <f t="shared" si="5"/>
        <v>OK</v>
      </c>
      <c r="N27" s="4" t="str">
        <f t="shared" si="6"/>
        <v>Excellent</v>
      </c>
      <c r="O27" s="4" t="str">
        <f>IF(OR(tblProducts[[#This Row],[Discount]]="",tblProducts[[#This Row],[Rating]]=""),"Missing Entry",IF(AND(tblProducts[[#This Row],[Discount]]&gt;=40%,tblProducts[[#This Row],[Rating]]&lt;3),"High Discount + Low Rating","Doesn't meet Criteria"))</f>
        <v>Doesn't meet Criteria</v>
      </c>
      <c r="P27" s="4" t="str">
        <f>IF(OR(tblProducts[[#This Row],[Review]]="",tblProducts[[#This Row],[Discount]]=""),"Missing Entry",IF(AND(tblProducts[[#This Row],[Discount]]&gt;=40%,tblProducts[[#This Row],[Review]]&lt;15),"High Discount + Low Engagement","Doesn't meet Criteria"))</f>
        <v>Doesn't meet Criteria</v>
      </c>
      <c r="Q27" s="4" t="str">
        <f>IF(OR(tblProducts[[#This Row],[Review]]="",tblProducts[[#This Row],[Rating]]=""),"Missing Entry",IF(AND(tblProducts[[#This Row],[Review]]&gt;=15,tblProducts[[#This Row],[Rating]]&gt;=3,tblProducts[[#This Row],[Rating]]&lt;=4.5),"Many Reviews + Average Rating","Doesn't meet Criteria"))</f>
        <v>Doesn't meet Criteria</v>
      </c>
      <c r="R27" s="4" t="str">
        <f>IF(OR(tblProducts[[#This Row],[Review]]="",tblProducts[[#This Row],[Rating]]=""),"Missing Entry",IF(AND(tblProducts[[#This Row],[Review]]&gt;=15,tblProducts[[#This Row],[Rating]]&gt;4.5),"Strong Engagement + Excellent Rating","Doesn't meet criteria"))</f>
        <v>Strong Engagement + Excellent Rating</v>
      </c>
    </row>
    <row r="28" spans="1:18" hidden="1" x14ac:dyDescent="0.35">
      <c r="A28" s="4" t="s">
        <v>92</v>
      </c>
      <c r="B28" s="6">
        <v>2880</v>
      </c>
      <c r="C28" s="8">
        <v>3520</v>
      </c>
      <c r="D28" s="18" t="str">
        <f t="shared" si="0"/>
        <v>OK</v>
      </c>
      <c r="E28" s="21" t="str">
        <f t="shared" si="1"/>
        <v>High Price</v>
      </c>
      <c r="F28" s="9">
        <f t="shared" si="2"/>
        <v>640</v>
      </c>
      <c r="G28" s="14">
        <v>0.18</v>
      </c>
      <c r="H28" s="16" t="str">
        <f t="shared" si="3"/>
        <v>OK</v>
      </c>
      <c r="I28" s="16" t="str">
        <f t="shared" si="4"/>
        <v>Low Discount</v>
      </c>
      <c r="J28" s="11">
        <v>12</v>
      </c>
      <c r="K28" s="11" t="str">
        <f>IF(tblProducts[[#This Row],[Review]]="","Missing Entry",IF(tblProducts[[#This Row],[Review]]&gt;=Review_Q3, "Strong  Customer Engagement","Low Customer Engagement"))</f>
        <v>Low Customer Engagement</v>
      </c>
      <c r="L28" s="23">
        <v>3.8</v>
      </c>
      <c r="M28" t="str">
        <f t="shared" si="5"/>
        <v>OK</v>
      </c>
      <c r="N28" s="4" t="str">
        <f t="shared" si="6"/>
        <v>Average</v>
      </c>
      <c r="O28" s="4" t="str">
        <f>IF(OR(tblProducts[[#This Row],[Discount]]="",tblProducts[[#This Row],[Rating]]=""),"Missing Entry",IF(AND(tblProducts[[#This Row],[Discount]]&gt;=40%,tblProducts[[#This Row],[Rating]]&lt;3),"High Discount + Low Rating","Doesn't meet Criteria"))</f>
        <v>Doesn't meet Criteria</v>
      </c>
      <c r="P28" s="4" t="str">
        <f>IF(OR(tblProducts[[#This Row],[Review]]="",tblProducts[[#This Row],[Discount]]=""),"Missing Entry",IF(AND(tblProducts[[#This Row],[Discount]]&gt;=40%,tblProducts[[#This Row],[Review]]&lt;15),"High Discount + Low Engagement","Doesn't meet Criteria"))</f>
        <v>Doesn't meet Criteria</v>
      </c>
      <c r="Q28" s="4" t="str">
        <f>IF(OR(tblProducts[[#This Row],[Review]]="",tblProducts[[#This Row],[Rating]]=""),"Missing Entry",IF(AND(tblProducts[[#This Row],[Review]]&gt;=15,tblProducts[[#This Row],[Rating]]&gt;=3,tblProducts[[#This Row],[Rating]]&lt;=4.5),"Many Reviews + Average Rating","Doesn't meet Criteria"))</f>
        <v>Doesn't meet Criteria</v>
      </c>
      <c r="R28" s="4" t="str">
        <f>IF(OR(tblProducts[[#This Row],[Review]]="",tblProducts[[#This Row],[Rating]]=""),"Missing Entry",IF(AND(tblProducts[[#This Row],[Review]]&gt;=15,tblProducts[[#This Row],[Rating]]&gt;4.5),"Strong Engagement + Excellent Rating","Doesn't meet criteria"))</f>
        <v>Doesn't meet criteria</v>
      </c>
    </row>
    <row r="29" spans="1:18" hidden="1" x14ac:dyDescent="0.35">
      <c r="A29" s="4" t="s">
        <v>95</v>
      </c>
      <c r="B29" s="6">
        <v>1350</v>
      </c>
      <c r="C29" s="8">
        <v>1990</v>
      </c>
      <c r="D29" s="18" t="str">
        <f t="shared" si="0"/>
        <v>OK</v>
      </c>
      <c r="E29" s="21" t="str">
        <f t="shared" si="1"/>
        <v>Medium Price</v>
      </c>
      <c r="F29" s="9">
        <f t="shared" si="2"/>
        <v>640</v>
      </c>
      <c r="G29" s="14">
        <v>0.32</v>
      </c>
      <c r="H29" s="16" t="str">
        <f t="shared" si="3"/>
        <v>OK</v>
      </c>
      <c r="I29" s="16" t="str">
        <f t="shared" si="4"/>
        <v>Medium Discount</v>
      </c>
      <c r="J29" s="11">
        <v>13</v>
      </c>
      <c r="K29" s="11" t="str">
        <f>IF(tblProducts[[#This Row],[Review]]="","Missing Entry",IF(tblProducts[[#This Row],[Review]]&gt;=Review_Q3, "Strong  Customer Engagement","Low Customer Engagement"))</f>
        <v>Low Customer Engagement</v>
      </c>
      <c r="L29" s="23">
        <v>3.8</v>
      </c>
      <c r="M29" t="str">
        <f t="shared" si="5"/>
        <v>OK</v>
      </c>
      <c r="N29" s="4" t="str">
        <f t="shared" si="6"/>
        <v>Average</v>
      </c>
      <c r="O29" s="4" t="str">
        <f>IF(OR(tblProducts[[#This Row],[Discount]]="",tblProducts[[#This Row],[Rating]]=""),"Missing Entry",IF(AND(tblProducts[[#This Row],[Discount]]&gt;=40%,tblProducts[[#This Row],[Rating]]&lt;3),"High Discount + Low Rating","Doesn't meet Criteria"))</f>
        <v>Doesn't meet Criteria</v>
      </c>
      <c r="P29" s="4" t="str">
        <f>IF(OR(tblProducts[[#This Row],[Review]]="",tblProducts[[#This Row],[Discount]]=""),"Missing Entry",IF(AND(tblProducts[[#This Row],[Discount]]&gt;=40%,tblProducts[[#This Row],[Review]]&lt;15),"High Discount + Low Engagement","Doesn't meet Criteria"))</f>
        <v>Doesn't meet Criteria</v>
      </c>
      <c r="Q29" s="4" t="str">
        <f>IF(OR(tblProducts[[#This Row],[Review]]="",tblProducts[[#This Row],[Rating]]=""),"Missing Entry",IF(AND(tblProducts[[#This Row],[Review]]&gt;=15,tblProducts[[#This Row],[Rating]]&gt;=3,tblProducts[[#This Row],[Rating]]&lt;=4.5),"Many Reviews + Average Rating","Doesn't meet Criteria"))</f>
        <v>Doesn't meet Criteria</v>
      </c>
      <c r="R29" s="4" t="str">
        <f>IF(OR(tblProducts[[#This Row],[Review]]="",tblProducts[[#This Row],[Rating]]=""),"Missing Entry",IF(AND(tblProducts[[#This Row],[Review]]&gt;=15,tblProducts[[#This Row],[Rating]]&gt;4.5),"Strong Engagement + Excellent Rating","Doesn't meet criteria"))</f>
        <v>Doesn't meet criteria</v>
      </c>
    </row>
    <row r="30" spans="1:18" hidden="1" x14ac:dyDescent="0.35">
      <c r="A30" s="4" t="s">
        <v>97</v>
      </c>
      <c r="B30" s="6">
        <v>1758</v>
      </c>
      <c r="C30" s="8">
        <v>2499</v>
      </c>
      <c r="D30" s="18" t="str">
        <f t="shared" si="0"/>
        <v>OK</v>
      </c>
      <c r="E30" s="21" t="str">
        <f t="shared" si="1"/>
        <v>High Price</v>
      </c>
      <c r="F30" s="9">
        <f t="shared" si="2"/>
        <v>741</v>
      </c>
      <c r="G30" s="14">
        <v>0.3</v>
      </c>
      <c r="H30" s="16" t="str">
        <f t="shared" si="3"/>
        <v>OK</v>
      </c>
      <c r="I30" s="16" t="str">
        <f t="shared" si="4"/>
        <v>Medium Discount</v>
      </c>
      <c r="J30" s="11">
        <v>20</v>
      </c>
      <c r="K30" s="11" t="str">
        <f>IF(tblProducts[[#This Row],[Review]]="","Missing Entry",IF(tblProducts[[#This Row],[Review]]&gt;=Review_Q3, "Strong  Customer Engagement","Low Customer Engagement"))</f>
        <v>Strong  Customer Engagement</v>
      </c>
      <c r="L30" s="23">
        <v>4.0999999999999996</v>
      </c>
      <c r="M30" t="str">
        <f t="shared" si="5"/>
        <v>OK</v>
      </c>
      <c r="N30" s="4" t="str">
        <f t="shared" si="6"/>
        <v>Average</v>
      </c>
      <c r="O30" s="4" t="str">
        <f>IF(OR(tblProducts[[#This Row],[Discount]]="",tblProducts[[#This Row],[Rating]]=""),"Missing Entry",IF(AND(tblProducts[[#This Row],[Discount]]&gt;=40%,tblProducts[[#This Row],[Rating]]&lt;3),"High Discount + Low Rating","Doesn't meet Criteria"))</f>
        <v>Doesn't meet Criteria</v>
      </c>
      <c r="P30" s="4" t="str">
        <f>IF(OR(tblProducts[[#This Row],[Review]]="",tblProducts[[#This Row],[Discount]]=""),"Missing Entry",IF(AND(tblProducts[[#This Row],[Discount]]&gt;=40%,tblProducts[[#This Row],[Review]]&lt;15),"High Discount + Low Engagement","Doesn't meet Criteria"))</f>
        <v>Doesn't meet Criteria</v>
      </c>
      <c r="Q30" s="4" t="str">
        <f>IF(OR(tblProducts[[#This Row],[Review]]="",tblProducts[[#This Row],[Rating]]=""),"Missing Entry",IF(AND(tblProducts[[#This Row],[Review]]&gt;=15,tblProducts[[#This Row],[Rating]]&gt;=3,tblProducts[[#This Row],[Rating]]&lt;=4.5),"Many Reviews + Average Rating","Doesn't meet Criteria"))</f>
        <v>Many Reviews + Average Rating</v>
      </c>
      <c r="R30" s="4" t="str">
        <f>IF(OR(tblProducts[[#This Row],[Review]]="",tblProducts[[#This Row],[Rating]]=""),"Missing Entry",IF(AND(tblProducts[[#This Row],[Review]]&gt;=15,tblProducts[[#This Row],[Rating]]&gt;4.5),"Strong Engagement + Excellent Rating","Doesn't meet criteria"))</f>
        <v>Doesn't meet criteria</v>
      </c>
    </row>
    <row r="31" spans="1:18" x14ac:dyDescent="0.35">
      <c r="A31" s="4" t="s">
        <v>386</v>
      </c>
      <c r="B31" s="6">
        <v>2200</v>
      </c>
      <c r="C31" s="8">
        <v>4080</v>
      </c>
      <c r="D31" s="18" t="str">
        <f t="shared" si="0"/>
        <v>OK</v>
      </c>
      <c r="E31" s="21" t="str">
        <f t="shared" si="1"/>
        <v>High Price</v>
      </c>
      <c r="F31" s="9">
        <f t="shared" si="2"/>
        <v>1880</v>
      </c>
      <c r="G31" s="14">
        <v>0.46</v>
      </c>
      <c r="H31" s="16" t="str">
        <f t="shared" si="3"/>
        <v>OK</v>
      </c>
      <c r="I31" s="16" t="str">
        <f t="shared" si="4"/>
        <v>High Discount</v>
      </c>
      <c r="J31" s="11"/>
      <c r="K31" s="11" t="str">
        <f>IF(tblProducts[[#This Row],[Review]]="","Missing Entry",IF(tblProducts[[#This Row],[Review]]&gt;=Review_Q3, "Strong  Customer Engagement","Low Customer Engagement"))</f>
        <v>Missing Entry</v>
      </c>
      <c r="M31" t="str">
        <f t="shared" si="5"/>
        <v>Missing Entry</v>
      </c>
      <c r="N31" s="4" t="str">
        <f t="shared" si="6"/>
        <v>Missing</v>
      </c>
      <c r="O31" s="4" t="str">
        <f>IF(OR(tblProducts[[#This Row],[Discount]]="",tblProducts[[#This Row],[Rating]]=""),"Missing Entry",IF(AND(tblProducts[[#This Row],[Discount]]&gt;=40%,tblProducts[[#This Row],[Rating]]&lt;3),"High Discount + Low Rating","Doesn't meet Criteria"))</f>
        <v>Missing Entry</v>
      </c>
      <c r="P31" s="4" t="str">
        <f>IF(OR(tblProducts[[#This Row],[Review]]="",tblProducts[[#This Row],[Discount]]=""),"Missing Entry",IF(AND(tblProducts[[#This Row],[Discount]]&gt;=40%,tblProducts[[#This Row],[Review]]&lt;15),"High Discount + Low Engagement","Doesn't meet Criteria"))</f>
        <v>Missing Entry</v>
      </c>
      <c r="Q31" s="4" t="str">
        <f>IF(OR(tblProducts[[#This Row],[Review]]="",tblProducts[[#This Row],[Rating]]=""),"Missing Entry",IF(AND(tblProducts[[#This Row],[Review]]&gt;=15,tblProducts[[#This Row],[Rating]]&gt;=3,tblProducts[[#This Row],[Rating]]&lt;=4.5),"Many Reviews + Average Rating","Doesn't meet Criteria"))</f>
        <v>Missing Entry</v>
      </c>
      <c r="R31" s="4" t="str">
        <f>IF(OR(tblProducts[[#This Row],[Review]]="",tblProducts[[#This Row],[Rating]]=""),"Missing Entry",IF(AND(tblProducts[[#This Row],[Review]]&gt;=15,tblProducts[[#This Row],[Rating]]&gt;4.5),"Strong Engagement + Excellent Rating","Doesn't meet criteria"))</f>
        <v>Missing Entry</v>
      </c>
    </row>
    <row r="32" spans="1:18" hidden="1" x14ac:dyDescent="0.35">
      <c r="A32" s="4" t="s">
        <v>102</v>
      </c>
      <c r="B32" s="6">
        <v>185</v>
      </c>
      <c r="C32" s="8">
        <v>382</v>
      </c>
      <c r="D32" s="18" t="str">
        <f t="shared" si="0"/>
        <v>OK</v>
      </c>
      <c r="E32" s="21" t="str">
        <f t="shared" si="1"/>
        <v>Low Price</v>
      </c>
      <c r="F32" s="9">
        <f t="shared" si="2"/>
        <v>197</v>
      </c>
      <c r="G32" s="14">
        <v>0.52</v>
      </c>
      <c r="H32" s="16" t="str">
        <f t="shared" si="3"/>
        <v>OK</v>
      </c>
      <c r="I32" s="16" t="str">
        <f t="shared" si="4"/>
        <v>High Discount</v>
      </c>
      <c r="J32" s="11">
        <v>9</v>
      </c>
      <c r="K32" s="11" t="str">
        <f>IF(tblProducts[[#This Row],[Review]]="","Missing Entry",IF(tblProducts[[#This Row],[Review]]&gt;=Review_Q3, "Strong  Customer Engagement","Low Customer Engagement"))</f>
        <v>Low Customer Engagement</v>
      </c>
      <c r="L32" s="23">
        <v>4.3</v>
      </c>
      <c r="M32" t="str">
        <f t="shared" si="5"/>
        <v>OK</v>
      </c>
      <c r="N32" s="4" t="str">
        <f t="shared" si="6"/>
        <v>Average</v>
      </c>
      <c r="O32" s="4" t="str">
        <f>IF(OR(tblProducts[[#This Row],[Discount]]="",tblProducts[[#This Row],[Rating]]=""),"Missing Entry",IF(AND(tblProducts[[#This Row],[Discount]]&gt;=40%,tblProducts[[#This Row],[Rating]]&lt;3),"High Discount + Low Rating","Doesn't meet Criteria"))</f>
        <v>Doesn't meet Criteria</v>
      </c>
      <c r="P32" s="4" t="str">
        <f>IF(OR(tblProducts[[#This Row],[Review]]="",tblProducts[[#This Row],[Discount]]=""),"Missing Entry",IF(AND(tblProducts[[#This Row],[Discount]]&gt;=40%,tblProducts[[#This Row],[Review]]&lt;15),"High Discount + Low Engagement","Doesn't meet Criteria"))</f>
        <v>High Discount + Low Engagement</v>
      </c>
      <c r="Q32" s="4" t="str">
        <f>IF(OR(tblProducts[[#This Row],[Review]]="",tblProducts[[#This Row],[Rating]]=""),"Missing Entry",IF(AND(tblProducts[[#This Row],[Review]]&gt;=15,tblProducts[[#This Row],[Rating]]&gt;=3,tblProducts[[#This Row],[Rating]]&lt;=4.5),"Many Reviews + Average Rating","Doesn't meet Criteria"))</f>
        <v>Doesn't meet Criteria</v>
      </c>
      <c r="R32" s="4" t="str">
        <f>IF(OR(tblProducts[[#This Row],[Review]]="",tblProducts[[#This Row],[Rating]]=""),"Missing Entry",IF(AND(tblProducts[[#This Row],[Review]]&gt;=15,tblProducts[[#This Row],[Rating]]&gt;4.5),"Strong Engagement + Excellent Rating","Doesn't meet criteria"))</f>
        <v>Doesn't meet criteria</v>
      </c>
    </row>
    <row r="33" spans="1:18" hidden="1" x14ac:dyDescent="0.35">
      <c r="A33" s="4" t="s">
        <v>105</v>
      </c>
      <c r="B33" s="6">
        <v>980</v>
      </c>
      <c r="C33" s="8">
        <v>1490</v>
      </c>
      <c r="D33" s="18" t="str">
        <f t="shared" si="0"/>
        <v>OK</v>
      </c>
      <c r="E33" s="21" t="str">
        <f t="shared" si="1"/>
        <v>Medium Price</v>
      </c>
      <c r="F33" s="9">
        <f t="shared" si="2"/>
        <v>510</v>
      </c>
      <c r="G33" s="14">
        <v>0.34</v>
      </c>
      <c r="H33" s="16" t="str">
        <f t="shared" si="3"/>
        <v>OK</v>
      </c>
      <c r="I33" s="16" t="str">
        <f t="shared" si="4"/>
        <v>Medium Discount</v>
      </c>
      <c r="J33" s="11">
        <v>12</v>
      </c>
      <c r="K33" s="11" t="str">
        <f>IF(tblProducts[[#This Row],[Review]]="","Missing Entry",IF(tblProducts[[#This Row],[Review]]&gt;=Review_Q3, "Strong  Customer Engagement","Low Customer Engagement"))</f>
        <v>Low Customer Engagement</v>
      </c>
      <c r="L33" s="23">
        <v>4.7</v>
      </c>
      <c r="M33" t="str">
        <f t="shared" si="5"/>
        <v>OK</v>
      </c>
      <c r="N33" s="4" t="str">
        <f t="shared" si="6"/>
        <v>Excellent</v>
      </c>
      <c r="O33" s="4" t="str">
        <f>IF(OR(tblProducts[[#This Row],[Discount]]="",tblProducts[[#This Row],[Rating]]=""),"Missing Entry",IF(AND(tblProducts[[#This Row],[Discount]]&gt;=40%,tblProducts[[#This Row],[Rating]]&lt;3),"High Discount + Low Rating","Doesn't meet Criteria"))</f>
        <v>Doesn't meet Criteria</v>
      </c>
      <c r="P33" s="4" t="str">
        <f>IF(OR(tblProducts[[#This Row],[Review]]="",tblProducts[[#This Row],[Discount]]=""),"Missing Entry",IF(AND(tblProducts[[#This Row],[Discount]]&gt;=40%,tblProducts[[#This Row],[Review]]&lt;15),"High Discount + Low Engagement","Doesn't meet Criteria"))</f>
        <v>Doesn't meet Criteria</v>
      </c>
      <c r="Q33" s="4" t="str">
        <f>IF(OR(tblProducts[[#This Row],[Review]]="",tblProducts[[#This Row],[Rating]]=""),"Missing Entry",IF(AND(tblProducts[[#This Row],[Review]]&gt;=15,tblProducts[[#This Row],[Rating]]&gt;=3,tblProducts[[#This Row],[Rating]]&lt;=4.5),"Many Reviews + Average Rating","Doesn't meet Criteria"))</f>
        <v>Doesn't meet Criteria</v>
      </c>
      <c r="R33" s="4" t="str">
        <f>IF(OR(tblProducts[[#This Row],[Review]]="",tblProducts[[#This Row],[Rating]]=""),"Missing Entry",IF(AND(tblProducts[[#This Row],[Review]]&gt;=15,tblProducts[[#This Row],[Rating]]&gt;4.5),"Strong Engagement + Excellent Rating","Doesn't meet criteria"))</f>
        <v>Doesn't meet criteria</v>
      </c>
    </row>
    <row r="34" spans="1:18" hidden="1" x14ac:dyDescent="0.35">
      <c r="A34" s="4" t="s">
        <v>350</v>
      </c>
      <c r="B34" s="6">
        <v>1820</v>
      </c>
      <c r="C34" s="8">
        <v>3490</v>
      </c>
      <c r="D34" s="18" t="str">
        <f t="shared" ref="D34:D65" si="7">IF(B34&gt;C34,"Check prices","OK")</f>
        <v>OK</v>
      </c>
      <c r="E34" s="21" t="str">
        <f t="shared" ref="E34:E65" si="8">IF(B34="","Missing",IF(B34&gt;Price_Q3,"High Price",IF(B34&gt;Price_Q1,"Medium Price","Low Price")))</f>
        <v>High Price</v>
      </c>
      <c r="F34" s="9">
        <f t="shared" ref="F34:F65" si="9">C34-B34</f>
        <v>1670</v>
      </c>
      <c r="G34" s="14">
        <v>0.48</v>
      </c>
      <c r="H34" s="16" t="str">
        <f t="shared" ref="H34:H65" si="10">IF(OR(G34&lt;0,G34&gt;1),"Check the discount","OK")</f>
        <v>OK</v>
      </c>
      <c r="I34" s="16" t="str">
        <f t="shared" ref="I34:I65" si="11">IF(G34="","Missing",IF(G34&lt;20%,"Low Discount",IF(G34&lt;=40%,"Medium Discount","High Discount")))</f>
        <v>High Discount</v>
      </c>
      <c r="J34" s="11">
        <v>9</v>
      </c>
      <c r="K34" s="11" t="str">
        <f>IF(tblProducts[[#This Row],[Review]]="","Missing Entry",IF(tblProducts[[#This Row],[Review]]&gt;=Review_Q3, "Strong  Customer Engagement","Low Customer Engagement"))</f>
        <v>Low Customer Engagement</v>
      </c>
      <c r="L34" s="23">
        <v>4.3</v>
      </c>
      <c r="M34" t="str">
        <f t="shared" ref="M34:M65" si="12">IF(L34="","Missing Entry",IF(OR(L34&lt;0,L34&gt;5),"Check the rating","OK"))</f>
        <v>OK</v>
      </c>
      <c r="N34" s="4" t="str">
        <f t="shared" ref="N34:N65" si="13">IF(L34="","Missing",IF(L34&lt;3,"Poor",IF(L34&lt;=4.5,"Average","Excellent")))</f>
        <v>Average</v>
      </c>
      <c r="O34" s="4" t="str">
        <f>IF(OR(tblProducts[[#This Row],[Discount]]="",tblProducts[[#This Row],[Rating]]=""),"Missing Entry",IF(AND(tblProducts[[#This Row],[Discount]]&gt;=40%,tblProducts[[#This Row],[Rating]]&lt;3),"High Discount + Low Rating","Doesn't meet Criteria"))</f>
        <v>Doesn't meet Criteria</v>
      </c>
      <c r="P34" s="4" t="str">
        <f>IF(OR(tblProducts[[#This Row],[Review]]="",tblProducts[[#This Row],[Discount]]=""),"Missing Entry",IF(AND(tblProducts[[#This Row],[Discount]]&gt;=40%,tblProducts[[#This Row],[Review]]&lt;15),"High Discount + Low Engagement","Doesn't meet Criteria"))</f>
        <v>High Discount + Low Engagement</v>
      </c>
      <c r="Q34" s="4" t="str">
        <f>IF(OR(tblProducts[[#This Row],[Review]]="",tblProducts[[#This Row],[Rating]]=""),"Missing Entry",IF(AND(tblProducts[[#This Row],[Review]]&gt;=15,tblProducts[[#This Row],[Rating]]&gt;=3,tblProducts[[#This Row],[Rating]]&lt;=4.5),"Many Reviews + Average Rating","Doesn't meet Criteria"))</f>
        <v>Doesn't meet Criteria</v>
      </c>
      <c r="R34" s="4" t="str">
        <f>IF(OR(tblProducts[[#This Row],[Review]]="",tblProducts[[#This Row],[Rating]]=""),"Missing Entry",IF(AND(tblProducts[[#This Row],[Review]]&gt;=15,tblProducts[[#This Row],[Rating]]&gt;4.5),"Strong Engagement + Excellent Rating","Doesn't meet criteria"))</f>
        <v>Doesn't meet criteria</v>
      </c>
    </row>
    <row r="35" spans="1:18" hidden="1" x14ac:dyDescent="0.35">
      <c r="A35" s="4" t="s">
        <v>111</v>
      </c>
      <c r="B35" s="6">
        <v>1940</v>
      </c>
      <c r="C35" s="8">
        <v>2650</v>
      </c>
      <c r="D35" s="18" t="str">
        <f t="shared" si="7"/>
        <v>OK</v>
      </c>
      <c r="E35" s="21" t="str">
        <f t="shared" si="8"/>
        <v>High Price</v>
      </c>
      <c r="F35" s="9">
        <f t="shared" si="9"/>
        <v>710</v>
      </c>
      <c r="G35" s="14">
        <v>0.27</v>
      </c>
      <c r="H35" s="16" t="str">
        <f t="shared" si="10"/>
        <v>OK</v>
      </c>
      <c r="I35" s="16" t="str">
        <f t="shared" si="11"/>
        <v>Medium Discount</v>
      </c>
      <c r="J35" s="11">
        <v>20</v>
      </c>
      <c r="K35" s="11" t="str">
        <f>IF(tblProducts[[#This Row],[Review]]="","Missing Entry",IF(tblProducts[[#This Row],[Review]]&gt;=Review_Q3, "Strong  Customer Engagement","Low Customer Engagement"))</f>
        <v>Strong  Customer Engagement</v>
      </c>
      <c r="L35" s="23">
        <v>4.7</v>
      </c>
      <c r="M35" t="str">
        <f t="shared" si="12"/>
        <v>OK</v>
      </c>
      <c r="N35" s="4" t="str">
        <f t="shared" si="13"/>
        <v>Excellent</v>
      </c>
      <c r="O35" s="4" t="str">
        <f>IF(OR(tblProducts[[#This Row],[Discount]]="",tblProducts[[#This Row],[Rating]]=""),"Missing Entry",IF(AND(tblProducts[[#This Row],[Discount]]&gt;=40%,tblProducts[[#This Row],[Rating]]&lt;3),"High Discount + Low Rating","Doesn't meet Criteria"))</f>
        <v>Doesn't meet Criteria</v>
      </c>
      <c r="P35" s="4" t="str">
        <f>IF(OR(tblProducts[[#This Row],[Review]]="",tblProducts[[#This Row],[Discount]]=""),"Missing Entry",IF(AND(tblProducts[[#This Row],[Discount]]&gt;=40%,tblProducts[[#This Row],[Review]]&lt;15),"High Discount + Low Engagement","Doesn't meet Criteria"))</f>
        <v>Doesn't meet Criteria</v>
      </c>
      <c r="Q35" s="4" t="str">
        <f>IF(OR(tblProducts[[#This Row],[Review]]="",tblProducts[[#This Row],[Rating]]=""),"Missing Entry",IF(AND(tblProducts[[#This Row],[Review]]&gt;=15,tblProducts[[#This Row],[Rating]]&gt;=3,tblProducts[[#This Row],[Rating]]&lt;=4.5),"Many Reviews + Average Rating","Doesn't meet Criteria"))</f>
        <v>Doesn't meet Criteria</v>
      </c>
      <c r="R35" s="4" t="str">
        <f>IF(OR(tblProducts[[#This Row],[Review]]="",tblProducts[[#This Row],[Rating]]=""),"Missing Entry",IF(AND(tblProducts[[#This Row],[Review]]&gt;=15,tblProducts[[#This Row],[Rating]]&gt;4.5),"Strong Engagement + Excellent Rating","Doesn't meet criteria"))</f>
        <v>Strong Engagement + Excellent Rating</v>
      </c>
    </row>
    <row r="36" spans="1:18" hidden="1" x14ac:dyDescent="0.35">
      <c r="A36" s="4" t="s">
        <v>114</v>
      </c>
      <c r="B36" s="6">
        <v>1980</v>
      </c>
      <c r="C36" s="8">
        <v>2699</v>
      </c>
      <c r="D36" s="18" t="str">
        <f t="shared" si="7"/>
        <v>OK</v>
      </c>
      <c r="E36" s="21" t="str">
        <f t="shared" si="8"/>
        <v>High Price</v>
      </c>
      <c r="F36" s="9">
        <f t="shared" si="9"/>
        <v>719</v>
      </c>
      <c r="G36" s="14">
        <v>0.27</v>
      </c>
      <c r="H36" s="16" t="str">
        <f t="shared" si="10"/>
        <v>OK</v>
      </c>
      <c r="I36" s="16" t="str">
        <f t="shared" si="11"/>
        <v>Medium Discount</v>
      </c>
      <c r="J36" s="11">
        <v>32</v>
      </c>
      <c r="K36" s="11" t="str">
        <f>IF(tblProducts[[#This Row],[Review]]="","Missing Entry",IF(tblProducts[[#This Row],[Review]]&gt;=Review_Q3, "Strong  Customer Engagement","Low Customer Engagement"))</f>
        <v>Strong  Customer Engagement</v>
      </c>
      <c r="L36" s="23">
        <v>4.5</v>
      </c>
      <c r="M36" t="str">
        <f t="shared" si="12"/>
        <v>OK</v>
      </c>
      <c r="N36" s="4" t="str">
        <f t="shared" si="13"/>
        <v>Average</v>
      </c>
      <c r="O36" s="4" t="str">
        <f>IF(OR(tblProducts[[#This Row],[Discount]]="",tblProducts[[#This Row],[Rating]]=""),"Missing Entry",IF(AND(tblProducts[[#This Row],[Discount]]&gt;=40%,tblProducts[[#This Row],[Rating]]&lt;3),"High Discount + Low Rating","Doesn't meet Criteria"))</f>
        <v>Doesn't meet Criteria</v>
      </c>
      <c r="P36" s="4" t="str">
        <f>IF(OR(tblProducts[[#This Row],[Review]]="",tblProducts[[#This Row],[Discount]]=""),"Missing Entry",IF(AND(tblProducts[[#This Row],[Discount]]&gt;=40%,tblProducts[[#This Row],[Review]]&lt;15),"High Discount + Low Engagement","Doesn't meet Criteria"))</f>
        <v>Doesn't meet Criteria</v>
      </c>
      <c r="Q36" s="4" t="str">
        <f>IF(OR(tblProducts[[#This Row],[Review]]="",tblProducts[[#This Row],[Rating]]=""),"Missing Entry",IF(AND(tblProducts[[#This Row],[Review]]&gt;=15,tblProducts[[#This Row],[Rating]]&gt;=3,tblProducts[[#This Row],[Rating]]&lt;=4.5),"Many Reviews + Average Rating","Doesn't meet Criteria"))</f>
        <v>Many Reviews + Average Rating</v>
      </c>
      <c r="R36" s="4" t="str">
        <f>IF(OR(tblProducts[[#This Row],[Review]]="",tblProducts[[#This Row],[Rating]]=""),"Missing Entry",IF(AND(tblProducts[[#This Row],[Review]]&gt;=15,tblProducts[[#This Row],[Rating]]&gt;4.5),"Strong Engagement + Excellent Rating","Doesn't meet criteria"))</f>
        <v>Doesn't meet criteria</v>
      </c>
    </row>
    <row r="37" spans="1:18" hidden="1" x14ac:dyDescent="0.35">
      <c r="A37" s="4" t="s">
        <v>351</v>
      </c>
      <c r="B37" s="6">
        <v>1620</v>
      </c>
      <c r="C37" s="8">
        <v>2690</v>
      </c>
      <c r="D37" s="18" t="str">
        <f t="shared" si="7"/>
        <v>OK</v>
      </c>
      <c r="E37" s="21" t="str">
        <f t="shared" si="8"/>
        <v>Medium Price</v>
      </c>
      <c r="F37" s="9">
        <f t="shared" si="9"/>
        <v>1070</v>
      </c>
      <c r="G37" s="14">
        <v>0.4</v>
      </c>
      <c r="H37" s="16" t="str">
        <f t="shared" si="10"/>
        <v>OK</v>
      </c>
      <c r="I37" s="16" t="str">
        <f t="shared" si="11"/>
        <v>Medium Discount</v>
      </c>
      <c r="J37" s="11">
        <v>1</v>
      </c>
      <c r="K37" s="11" t="str">
        <f>IF(tblProducts[[#This Row],[Review]]="","Missing Entry",IF(tblProducts[[#This Row],[Review]]&gt;=Review_Q3, "Strong  Customer Engagement","Low Customer Engagement"))</f>
        <v>Low Customer Engagement</v>
      </c>
      <c r="L37" s="23">
        <v>5</v>
      </c>
      <c r="M37" t="str">
        <f t="shared" si="12"/>
        <v>OK</v>
      </c>
      <c r="N37" s="4" t="str">
        <f t="shared" si="13"/>
        <v>Excellent</v>
      </c>
      <c r="O37" s="4" t="str">
        <f>IF(OR(tblProducts[[#This Row],[Discount]]="",tblProducts[[#This Row],[Rating]]=""),"Missing Entry",IF(AND(tblProducts[[#This Row],[Discount]]&gt;=40%,tblProducts[[#This Row],[Rating]]&lt;3),"High Discount + Low Rating","Doesn't meet Criteria"))</f>
        <v>Doesn't meet Criteria</v>
      </c>
      <c r="P37" s="4" t="str">
        <f>IF(OR(tblProducts[[#This Row],[Review]]="",tblProducts[[#This Row],[Discount]]=""),"Missing Entry",IF(AND(tblProducts[[#This Row],[Discount]]&gt;=40%,tblProducts[[#This Row],[Review]]&lt;15),"High Discount + Low Engagement","Doesn't meet Criteria"))</f>
        <v>High Discount + Low Engagement</v>
      </c>
      <c r="Q37" s="4" t="str">
        <f>IF(OR(tblProducts[[#This Row],[Review]]="",tblProducts[[#This Row],[Rating]]=""),"Missing Entry",IF(AND(tblProducts[[#This Row],[Review]]&gt;=15,tblProducts[[#This Row],[Rating]]&gt;=3,tblProducts[[#This Row],[Rating]]&lt;=4.5),"Many Reviews + Average Rating","Doesn't meet Criteria"))</f>
        <v>Doesn't meet Criteria</v>
      </c>
      <c r="R37" s="4" t="str">
        <f>IF(OR(tblProducts[[#This Row],[Review]]="",tblProducts[[#This Row],[Rating]]=""),"Missing Entry",IF(AND(tblProducts[[#This Row],[Review]]&gt;=15,tblProducts[[#This Row],[Rating]]&gt;4.5),"Strong Engagement + Excellent Rating","Doesn't meet criteria"))</f>
        <v>Doesn't meet criteria</v>
      </c>
    </row>
    <row r="38" spans="1:18" hidden="1" x14ac:dyDescent="0.35">
      <c r="A38" s="4" t="s">
        <v>120</v>
      </c>
      <c r="B38" s="6">
        <v>171</v>
      </c>
      <c r="C38" s="8">
        <v>360</v>
      </c>
      <c r="D38" s="18" t="str">
        <f t="shared" si="7"/>
        <v>OK</v>
      </c>
      <c r="E38" s="21" t="str">
        <f t="shared" si="8"/>
        <v>Low Price</v>
      </c>
      <c r="F38" s="9">
        <f t="shared" si="9"/>
        <v>189</v>
      </c>
      <c r="G38" s="14">
        <v>0.53</v>
      </c>
      <c r="H38" s="16" t="str">
        <f t="shared" si="10"/>
        <v>OK</v>
      </c>
      <c r="I38" s="16" t="str">
        <f t="shared" si="11"/>
        <v>High Discount</v>
      </c>
      <c r="J38" s="11">
        <v>2</v>
      </c>
      <c r="K38" s="11" t="str">
        <f>IF(tblProducts[[#This Row],[Review]]="","Missing Entry",IF(tblProducts[[#This Row],[Review]]&gt;=Review_Q3, "Strong  Customer Engagement","Low Customer Engagement"))</f>
        <v>Low Customer Engagement</v>
      </c>
      <c r="L38" s="23">
        <v>5</v>
      </c>
      <c r="M38" t="str">
        <f t="shared" si="12"/>
        <v>OK</v>
      </c>
      <c r="N38" s="4" t="str">
        <f t="shared" si="13"/>
        <v>Excellent</v>
      </c>
      <c r="O38" s="4" t="str">
        <f>IF(OR(tblProducts[[#This Row],[Discount]]="",tblProducts[[#This Row],[Rating]]=""),"Missing Entry",IF(AND(tblProducts[[#This Row],[Discount]]&gt;=40%,tblProducts[[#This Row],[Rating]]&lt;3),"High Discount + Low Rating","Doesn't meet Criteria"))</f>
        <v>Doesn't meet Criteria</v>
      </c>
      <c r="P38" s="4" t="str">
        <f>IF(OR(tblProducts[[#This Row],[Review]]="",tblProducts[[#This Row],[Discount]]=""),"Missing Entry",IF(AND(tblProducts[[#This Row],[Discount]]&gt;=40%,tblProducts[[#This Row],[Review]]&lt;15),"High Discount + Low Engagement","Doesn't meet Criteria"))</f>
        <v>High Discount + Low Engagement</v>
      </c>
      <c r="Q38" s="4" t="str">
        <f>IF(OR(tblProducts[[#This Row],[Review]]="",tblProducts[[#This Row],[Rating]]=""),"Missing Entry",IF(AND(tblProducts[[#This Row],[Review]]&gt;=15,tblProducts[[#This Row],[Rating]]&gt;=3,tblProducts[[#This Row],[Rating]]&lt;=4.5),"Many Reviews + Average Rating","Doesn't meet Criteria"))</f>
        <v>Doesn't meet Criteria</v>
      </c>
      <c r="R38" s="4" t="str">
        <f>IF(OR(tblProducts[[#This Row],[Review]]="",tblProducts[[#This Row],[Rating]]=""),"Missing Entry",IF(AND(tblProducts[[#This Row],[Review]]&gt;=15,tblProducts[[#This Row],[Rating]]&gt;4.5),"Strong Engagement + Excellent Rating","Doesn't meet criteria"))</f>
        <v>Doesn't meet criteria</v>
      </c>
    </row>
    <row r="39" spans="1:18" hidden="1" x14ac:dyDescent="0.35">
      <c r="A39" s="4" t="s">
        <v>352</v>
      </c>
      <c r="B39" s="6">
        <v>389</v>
      </c>
      <c r="C39" s="8">
        <v>656</v>
      </c>
      <c r="D39" s="18" t="str">
        <f t="shared" si="7"/>
        <v>OK</v>
      </c>
      <c r="E39" s="21" t="str">
        <f t="shared" si="8"/>
        <v>Low Price</v>
      </c>
      <c r="F39" s="9">
        <f t="shared" si="9"/>
        <v>267</v>
      </c>
      <c r="G39" s="14">
        <v>0.41</v>
      </c>
      <c r="H39" s="16" t="str">
        <f t="shared" si="10"/>
        <v>OK</v>
      </c>
      <c r="I39" s="16" t="str">
        <f t="shared" si="11"/>
        <v>High Discount</v>
      </c>
      <c r="J39" s="11">
        <v>36</v>
      </c>
      <c r="K39" s="11" t="str">
        <f>IF(tblProducts[[#This Row],[Review]]="","Missing Entry",IF(tblProducts[[#This Row],[Review]]&gt;=Review_Q3, "Strong  Customer Engagement","Low Customer Engagement"))</f>
        <v>Strong  Customer Engagement</v>
      </c>
      <c r="L39" s="23">
        <v>4.3</v>
      </c>
      <c r="M39" t="str">
        <f t="shared" si="12"/>
        <v>OK</v>
      </c>
      <c r="N39" s="4" t="str">
        <f t="shared" si="13"/>
        <v>Average</v>
      </c>
      <c r="O39" s="4" t="str">
        <f>IF(OR(tblProducts[[#This Row],[Discount]]="",tblProducts[[#This Row],[Rating]]=""),"Missing Entry",IF(AND(tblProducts[[#This Row],[Discount]]&gt;=40%,tblProducts[[#This Row],[Rating]]&lt;3),"High Discount + Low Rating","Doesn't meet Criteria"))</f>
        <v>Doesn't meet Criteria</v>
      </c>
      <c r="P39" s="4" t="str">
        <f>IF(OR(tblProducts[[#This Row],[Review]]="",tblProducts[[#This Row],[Discount]]=""),"Missing Entry",IF(AND(tblProducts[[#This Row],[Discount]]&gt;=40%,tblProducts[[#This Row],[Review]]&lt;15),"High Discount + Low Engagement","Doesn't meet Criteria"))</f>
        <v>Doesn't meet Criteria</v>
      </c>
      <c r="Q39" s="4" t="str">
        <f>IF(OR(tblProducts[[#This Row],[Review]]="",tblProducts[[#This Row],[Rating]]=""),"Missing Entry",IF(AND(tblProducts[[#This Row],[Review]]&gt;=15,tblProducts[[#This Row],[Rating]]&gt;=3,tblProducts[[#This Row],[Rating]]&lt;=4.5),"Many Reviews + Average Rating","Doesn't meet Criteria"))</f>
        <v>Many Reviews + Average Rating</v>
      </c>
      <c r="R39" s="4" t="str">
        <f>IF(OR(tblProducts[[#This Row],[Review]]="",tblProducts[[#This Row],[Rating]]=""),"Missing Entry",IF(AND(tblProducts[[#This Row],[Review]]&gt;=15,tblProducts[[#This Row],[Rating]]&gt;4.5),"Strong Engagement + Excellent Rating","Doesn't meet criteria"))</f>
        <v>Doesn't meet criteria</v>
      </c>
    </row>
    <row r="40" spans="1:18" hidden="1" x14ac:dyDescent="0.35">
      <c r="A40" s="4" t="s">
        <v>125</v>
      </c>
      <c r="B40" s="6">
        <v>1800</v>
      </c>
      <c r="C40" s="8">
        <v>2700</v>
      </c>
      <c r="D40" s="18" t="str">
        <f t="shared" si="7"/>
        <v>OK</v>
      </c>
      <c r="E40" s="21" t="str">
        <f t="shared" si="8"/>
        <v>High Price</v>
      </c>
      <c r="F40" s="9">
        <f t="shared" si="9"/>
        <v>900</v>
      </c>
      <c r="G40" s="14">
        <v>0.38</v>
      </c>
      <c r="H40" s="16" t="str">
        <f t="shared" si="10"/>
        <v>OK</v>
      </c>
      <c r="I40" s="16" t="str">
        <f t="shared" si="11"/>
        <v>Medium Discount</v>
      </c>
      <c r="J40" s="11">
        <v>2</v>
      </c>
      <c r="K40" s="11" t="str">
        <f>IF(tblProducts[[#This Row],[Review]]="","Missing Entry",IF(tblProducts[[#This Row],[Review]]&gt;=Review_Q3, "Strong  Customer Engagement","Low Customer Engagement"))</f>
        <v>Low Customer Engagement</v>
      </c>
      <c r="L40" s="23">
        <v>4.5</v>
      </c>
      <c r="M40" t="str">
        <f t="shared" si="12"/>
        <v>OK</v>
      </c>
      <c r="N40" s="4" t="str">
        <f t="shared" si="13"/>
        <v>Average</v>
      </c>
      <c r="O40" s="4" t="str">
        <f>IF(OR(tblProducts[[#This Row],[Discount]]="",tblProducts[[#This Row],[Rating]]=""),"Missing Entry",IF(AND(tblProducts[[#This Row],[Discount]]&gt;=40%,tblProducts[[#This Row],[Rating]]&lt;3),"High Discount + Low Rating","Doesn't meet Criteria"))</f>
        <v>Doesn't meet Criteria</v>
      </c>
      <c r="P40" s="4" t="str">
        <f>IF(OR(tblProducts[[#This Row],[Review]]="",tblProducts[[#This Row],[Discount]]=""),"Missing Entry",IF(AND(tblProducts[[#This Row],[Discount]]&gt;=40%,tblProducts[[#This Row],[Review]]&lt;15),"High Discount + Low Engagement","Doesn't meet Criteria"))</f>
        <v>Doesn't meet Criteria</v>
      </c>
      <c r="Q40" s="4" t="str">
        <f>IF(OR(tblProducts[[#This Row],[Review]]="",tblProducts[[#This Row],[Rating]]=""),"Missing Entry",IF(AND(tblProducts[[#This Row],[Review]]&gt;=15,tblProducts[[#This Row],[Rating]]&gt;=3,tblProducts[[#This Row],[Rating]]&lt;=4.5),"Many Reviews + Average Rating","Doesn't meet Criteria"))</f>
        <v>Doesn't meet Criteria</v>
      </c>
      <c r="R40" s="4" t="str">
        <f>IF(OR(tblProducts[[#This Row],[Review]]="",tblProducts[[#This Row],[Rating]]=""),"Missing Entry",IF(AND(tblProducts[[#This Row],[Review]]&gt;=15,tblProducts[[#This Row],[Rating]]&gt;4.5),"Strong Engagement + Excellent Rating","Doesn't meet criteria"))</f>
        <v>Doesn't meet criteria</v>
      </c>
    </row>
    <row r="41" spans="1:18" x14ac:dyDescent="0.35">
      <c r="A41" s="4" t="s">
        <v>353</v>
      </c>
      <c r="B41" s="6">
        <v>2750</v>
      </c>
      <c r="C41" s="8">
        <v>4471</v>
      </c>
      <c r="D41" s="18" t="str">
        <f t="shared" si="7"/>
        <v>OK</v>
      </c>
      <c r="E41" s="21" t="str">
        <f t="shared" si="8"/>
        <v>High Price</v>
      </c>
      <c r="F41" s="9">
        <f t="shared" si="9"/>
        <v>1721</v>
      </c>
      <c r="G41" s="14">
        <v>0.38</v>
      </c>
      <c r="H41" s="16" t="str">
        <f t="shared" si="10"/>
        <v>OK</v>
      </c>
      <c r="I41" s="16" t="str">
        <f t="shared" si="11"/>
        <v>Medium Discount</v>
      </c>
      <c r="J41" s="11"/>
      <c r="K41" s="11" t="str">
        <f>IF(tblProducts[[#This Row],[Review]]="","Missing Entry",IF(tblProducts[[#This Row],[Review]]&gt;=Review_Q3, "Strong  Customer Engagement","Low Customer Engagement"))</f>
        <v>Missing Entry</v>
      </c>
      <c r="M41" t="str">
        <f t="shared" si="12"/>
        <v>Missing Entry</v>
      </c>
      <c r="N41" s="4" t="str">
        <f t="shared" si="13"/>
        <v>Missing</v>
      </c>
      <c r="O41" s="4" t="str">
        <f>IF(OR(tblProducts[[#This Row],[Discount]]="",tblProducts[[#This Row],[Rating]]=""),"Missing Entry",IF(AND(tblProducts[[#This Row],[Discount]]&gt;=40%,tblProducts[[#This Row],[Rating]]&lt;3),"High Discount + Low Rating","Doesn't meet Criteria"))</f>
        <v>Missing Entry</v>
      </c>
      <c r="P41" s="4" t="str">
        <f>IF(OR(tblProducts[[#This Row],[Review]]="",tblProducts[[#This Row],[Discount]]=""),"Missing Entry",IF(AND(tblProducts[[#This Row],[Discount]]&gt;=40%,tblProducts[[#This Row],[Review]]&lt;15),"High Discount + Low Engagement","Doesn't meet Criteria"))</f>
        <v>Missing Entry</v>
      </c>
      <c r="Q41" s="4" t="str">
        <f>IF(OR(tblProducts[[#This Row],[Review]]="",tblProducts[[#This Row],[Rating]]=""),"Missing Entry",IF(AND(tblProducts[[#This Row],[Review]]&gt;=15,tblProducts[[#This Row],[Rating]]&gt;=3,tblProducts[[#This Row],[Rating]]&lt;=4.5),"Many Reviews + Average Rating","Doesn't meet Criteria"))</f>
        <v>Missing Entry</v>
      </c>
      <c r="R41" s="4" t="str">
        <f>IF(OR(tblProducts[[#This Row],[Review]]="",tblProducts[[#This Row],[Rating]]=""),"Missing Entry",IF(AND(tblProducts[[#This Row],[Review]]&gt;=15,tblProducts[[#This Row],[Rating]]&gt;4.5),"Strong Engagement + Excellent Rating","Doesn't meet criteria"))</f>
        <v>Missing Entry</v>
      </c>
    </row>
    <row r="42" spans="1:18" x14ac:dyDescent="0.35">
      <c r="A42" s="4" t="s">
        <v>131</v>
      </c>
      <c r="B42" s="6">
        <v>475</v>
      </c>
      <c r="C42" s="8">
        <v>931</v>
      </c>
      <c r="D42" s="18" t="str">
        <f t="shared" si="7"/>
        <v>OK</v>
      </c>
      <c r="E42" s="21" t="str">
        <f t="shared" si="8"/>
        <v>Low Price</v>
      </c>
      <c r="F42" s="9">
        <f t="shared" si="9"/>
        <v>456</v>
      </c>
      <c r="G42" s="14">
        <v>0.49</v>
      </c>
      <c r="H42" s="16" t="str">
        <f t="shared" si="10"/>
        <v>OK</v>
      </c>
      <c r="I42" s="16" t="str">
        <f t="shared" si="11"/>
        <v>High Discount</v>
      </c>
      <c r="J42" s="11"/>
      <c r="K42" s="11" t="str">
        <f>IF(tblProducts[[#This Row],[Review]]="","Missing Entry",IF(tblProducts[[#This Row],[Review]]&gt;=Review_Q3, "Strong  Customer Engagement","Low Customer Engagement"))</f>
        <v>Missing Entry</v>
      </c>
      <c r="M42" t="str">
        <f t="shared" si="12"/>
        <v>Missing Entry</v>
      </c>
      <c r="N42" s="4" t="str">
        <f t="shared" si="13"/>
        <v>Missing</v>
      </c>
      <c r="O42" s="4" t="str">
        <f>IF(OR(tblProducts[[#This Row],[Discount]]="",tblProducts[[#This Row],[Rating]]=""),"Missing Entry",IF(AND(tblProducts[[#This Row],[Discount]]&gt;=40%,tblProducts[[#This Row],[Rating]]&lt;3),"High Discount + Low Rating","Doesn't meet Criteria"))</f>
        <v>Missing Entry</v>
      </c>
      <c r="P42" s="4" t="str">
        <f>IF(OR(tblProducts[[#This Row],[Review]]="",tblProducts[[#This Row],[Discount]]=""),"Missing Entry",IF(AND(tblProducts[[#This Row],[Discount]]&gt;=40%,tblProducts[[#This Row],[Review]]&lt;15),"High Discount + Low Engagement","Doesn't meet Criteria"))</f>
        <v>Missing Entry</v>
      </c>
      <c r="Q42" s="4" t="str">
        <f>IF(OR(tblProducts[[#This Row],[Review]]="",tblProducts[[#This Row],[Rating]]=""),"Missing Entry",IF(AND(tblProducts[[#This Row],[Review]]&gt;=15,tblProducts[[#This Row],[Rating]]&gt;=3,tblProducts[[#This Row],[Rating]]&lt;=4.5),"Many Reviews + Average Rating","Doesn't meet Criteria"))</f>
        <v>Missing Entry</v>
      </c>
      <c r="R42" s="4" t="str">
        <f>IF(OR(tblProducts[[#This Row],[Review]]="",tblProducts[[#This Row],[Rating]]=""),"Missing Entry",IF(AND(tblProducts[[#This Row],[Review]]&gt;=15,tblProducts[[#This Row],[Rating]]&gt;4.5),"Strong Engagement + Excellent Rating","Doesn't meet criteria"))</f>
        <v>Missing Entry</v>
      </c>
    </row>
    <row r="43" spans="1:18" x14ac:dyDescent="0.35">
      <c r="A43" s="4" t="s">
        <v>354</v>
      </c>
      <c r="B43" s="6">
        <v>238</v>
      </c>
      <c r="C43" s="8">
        <v>476</v>
      </c>
      <c r="D43" s="18" t="str">
        <f t="shared" si="7"/>
        <v>OK</v>
      </c>
      <c r="E43" s="21" t="str">
        <f t="shared" si="8"/>
        <v>Low Price</v>
      </c>
      <c r="F43" s="9">
        <f t="shared" si="9"/>
        <v>238</v>
      </c>
      <c r="G43" s="14">
        <v>0.5</v>
      </c>
      <c r="H43" s="16" t="str">
        <f t="shared" si="10"/>
        <v>OK</v>
      </c>
      <c r="I43" s="16" t="str">
        <f t="shared" si="11"/>
        <v>High Discount</v>
      </c>
      <c r="J43" s="11"/>
      <c r="K43" s="11" t="str">
        <f>IF(tblProducts[[#This Row],[Review]]="","Missing Entry",IF(tblProducts[[#This Row],[Review]]&gt;=Review_Q3, "Strong  Customer Engagement","Low Customer Engagement"))</f>
        <v>Missing Entry</v>
      </c>
      <c r="M43" t="str">
        <f t="shared" si="12"/>
        <v>Missing Entry</v>
      </c>
      <c r="N43" s="4" t="str">
        <f t="shared" si="13"/>
        <v>Missing</v>
      </c>
      <c r="O43" s="4" t="str">
        <f>IF(OR(tblProducts[[#This Row],[Discount]]="",tblProducts[[#This Row],[Rating]]=""),"Missing Entry",IF(AND(tblProducts[[#This Row],[Discount]]&gt;=40%,tblProducts[[#This Row],[Rating]]&lt;3),"High Discount + Low Rating","Doesn't meet Criteria"))</f>
        <v>Missing Entry</v>
      </c>
      <c r="P43" s="4" t="str">
        <f>IF(OR(tblProducts[[#This Row],[Review]]="",tblProducts[[#This Row],[Discount]]=""),"Missing Entry",IF(AND(tblProducts[[#This Row],[Discount]]&gt;=40%,tblProducts[[#This Row],[Review]]&lt;15),"High Discount + Low Engagement","Doesn't meet Criteria"))</f>
        <v>Missing Entry</v>
      </c>
      <c r="Q43" s="4" t="str">
        <f>IF(OR(tblProducts[[#This Row],[Review]]="",tblProducts[[#This Row],[Rating]]=""),"Missing Entry",IF(AND(tblProducts[[#This Row],[Review]]&gt;=15,tblProducts[[#This Row],[Rating]]&gt;=3,tblProducts[[#This Row],[Rating]]&lt;=4.5),"Many Reviews + Average Rating","Doesn't meet Criteria"))</f>
        <v>Missing Entry</v>
      </c>
      <c r="R43" s="4" t="str">
        <f>IF(OR(tblProducts[[#This Row],[Review]]="",tblProducts[[#This Row],[Rating]]=""),"Missing Entry",IF(AND(tblProducts[[#This Row],[Review]]&gt;=15,tblProducts[[#This Row],[Rating]]&gt;4.5),"Strong Engagement + Excellent Rating","Doesn't meet criteria"))</f>
        <v>Missing Entry</v>
      </c>
    </row>
    <row r="44" spans="1:18" x14ac:dyDescent="0.35">
      <c r="A44" s="4" t="s">
        <v>140</v>
      </c>
      <c r="B44" s="6">
        <v>2132</v>
      </c>
      <c r="C44" s="8">
        <v>2169</v>
      </c>
      <c r="D44" s="18" t="str">
        <f t="shared" si="7"/>
        <v>OK</v>
      </c>
      <c r="E44" s="21" t="str">
        <f t="shared" si="8"/>
        <v>High Price</v>
      </c>
      <c r="F44" s="9">
        <f t="shared" si="9"/>
        <v>37</v>
      </c>
      <c r="G44" s="14">
        <v>0.42</v>
      </c>
      <c r="H44" s="16" t="str">
        <f t="shared" si="10"/>
        <v>OK</v>
      </c>
      <c r="I44" s="16" t="str">
        <f t="shared" si="11"/>
        <v>High Discount</v>
      </c>
      <c r="J44" s="11"/>
      <c r="K44" s="11" t="str">
        <f>IF(tblProducts[[#This Row],[Review]]="","Missing Entry",IF(tblProducts[[#This Row],[Review]]&gt;=Review_Q3, "Strong  Customer Engagement","Low Customer Engagement"))</f>
        <v>Missing Entry</v>
      </c>
      <c r="M44" t="str">
        <f t="shared" si="12"/>
        <v>Missing Entry</v>
      </c>
      <c r="N44" s="4" t="str">
        <f t="shared" si="13"/>
        <v>Missing</v>
      </c>
      <c r="O44" s="4" t="str">
        <f>IF(OR(tblProducts[[#This Row],[Discount]]="",tblProducts[[#This Row],[Rating]]=""),"Missing Entry",IF(AND(tblProducts[[#This Row],[Discount]]&gt;=40%,tblProducts[[#This Row],[Rating]]&lt;3),"High Discount + Low Rating","Doesn't meet Criteria"))</f>
        <v>Missing Entry</v>
      </c>
      <c r="P44" s="4" t="str">
        <f>IF(OR(tblProducts[[#This Row],[Review]]="",tblProducts[[#This Row],[Discount]]=""),"Missing Entry",IF(AND(tblProducts[[#This Row],[Discount]]&gt;=40%,tblProducts[[#This Row],[Review]]&lt;15),"High Discount + Low Engagement","Doesn't meet Criteria"))</f>
        <v>Missing Entry</v>
      </c>
      <c r="Q44" s="4" t="str">
        <f>IF(OR(tblProducts[[#This Row],[Review]]="",tblProducts[[#This Row],[Rating]]=""),"Missing Entry",IF(AND(tblProducts[[#This Row],[Review]]&gt;=15,tblProducts[[#This Row],[Rating]]&gt;=3,tblProducts[[#This Row],[Rating]]&lt;=4.5),"Many Reviews + Average Rating","Doesn't meet Criteria"))</f>
        <v>Missing Entry</v>
      </c>
      <c r="R44" s="4" t="str">
        <f>IF(OR(tblProducts[[#This Row],[Review]]="",tblProducts[[#This Row],[Rating]]=""),"Missing Entry",IF(AND(tblProducts[[#This Row],[Review]]&gt;=15,tblProducts[[#This Row],[Rating]]&gt;4.5),"Strong Engagement + Excellent Rating","Doesn't meet criteria"))</f>
        <v>Missing Entry</v>
      </c>
    </row>
    <row r="45" spans="1:18" x14ac:dyDescent="0.35">
      <c r="A45" s="4" t="s">
        <v>143</v>
      </c>
      <c r="B45" s="6">
        <v>999</v>
      </c>
      <c r="C45" s="8">
        <v>2000</v>
      </c>
      <c r="D45" s="18" t="str">
        <f t="shared" si="7"/>
        <v>OK</v>
      </c>
      <c r="E45" s="21" t="str">
        <f t="shared" si="8"/>
        <v>Medium Price</v>
      </c>
      <c r="F45" s="9">
        <f t="shared" si="9"/>
        <v>1001</v>
      </c>
      <c r="G45" s="14">
        <v>0.42</v>
      </c>
      <c r="H45" s="16" t="str">
        <f t="shared" si="10"/>
        <v>OK</v>
      </c>
      <c r="I45" s="16" t="str">
        <f t="shared" si="11"/>
        <v>High Discount</v>
      </c>
      <c r="J45" s="11"/>
      <c r="K45" s="11" t="str">
        <f>IF(tblProducts[[#This Row],[Review]]="","Missing Entry",IF(tblProducts[[#This Row],[Review]]&gt;=Review_Q3, "Strong  Customer Engagement","Low Customer Engagement"))</f>
        <v>Missing Entry</v>
      </c>
      <c r="M45" t="str">
        <f t="shared" si="12"/>
        <v>Missing Entry</v>
      </c>
      <c r="N45" s="4" t="str">
        <f t="shared" si="13"/>
        <v>Missing</v>
      </c>
      <c r="O45" s="4" t="str">
        <f>IF(OR(tblProducts[[#This Row],[Discount]]="",tblProducts[[#This Row],[Rating]]=""),"Missing Entry",IF(AND(tblProducts[[#This Row],[Discount]]&gt;=40%,tblProducts[[#This Row],[Rating]]&lt;3),"High Discount + Low Rating","Doesn't meet Criteria"))</f>
        <v>Missing Entry</v>
      </c>
      <c r="P45" s="4" t="str">
        <f>IF(OR(tblProducts[[#This Row],[Review]]="",tblProducts[[#This Row],[Discount]]=""),"Missing Entry",IF(AND(tblProducts[[#This Row],[Discount]]&gt;=40%,tblProducts[[#This Row],[Review]]&lt;15),"High Discount + Low Engagement","Doesn't meet Criteria"))</f>
        <v>Missing Entry</v>
      </c>
      <c r="Q45" s="4" t="str">
        <f>IF(OR(tblProducts[[#This Row],[Review]]="",tblProducts[[#This Row],[Rating]]=""),"Missing Entry",IF(AND(tblProducts[[#This Row],[Review]]&gt;=15,tblProducts[[#This Row],[Rating]]&gt;=3,tblProducts[[#This Row],[Rating]]&lt;=4.5),"Many Reviews + Average Rating","Doesn't meet Criteria"))</f>
        <v>Missing Entry</v>
      </c>
      <c r="R45" s="4" t="str">
        <f>IF(OR(tblProducts[[#This Row],[Review]]="",tblProducts[[#This Row],[Rating]]=""),"Missing Entry",IF(AND(tblProducts[[#This Row],[Review]]&gt;=15,tblProducts[[#This Row],[Rating]]&gt;4.5),"Strong Engagement + Excellent Rating","Doesn't meet criteria"))</f>
        <v>Missing Entry</v>
      </c>
    </row>
    <row r="46" spans="1:18" x14ac:dyDescent="0.35">
      <c r="A46" s="4" t="s">
        <v>145</v>
      </c>
      <c r="B46" s="6">
        <v>1190</v>
      </c>
      <c r="C46" s="8">
        <v>1785</v>
      </c>
      <c r="D46" s="18" t="str">
        <f t="shared" si="7"/>
        <v>OK</v>
      </c>
      <c r="E46" s="21" t="str">
        <f t="shared" si="8"/>
        <v>Medium Price</v>
      </c>
      <c r="F46" s="9">
        <f t="shared" si="9"/>
        <v>595</v>
      </c>
      <c r="G46" s="14">
        <v>0.02</v>
      </c>
      <c r="H46" s="16" t="str">
        <f t="shared" si="10"/>
        <v>OK</v>
      </c>
      <c r="I46" s="16" t="str">
        <f t="shared" si="11"/>
        <v>Low Discount</v>
      </c>
      <c r="J46" s="11"/>
      <c r="K46" s="11" t="str">
        <f>IF(tblProducts[[#This Row],[Review]]="","Missing Entry",IF(tblProducts[[#This Row],[Review]]&gt;=Review_Q3, "Strong  Customer Engagement","Low Customer Engagement"))</f>
        <v>Missing Entry</v>
      </c>
      <c r="M46" t="str">
        <f t="shared" si="12"/>
        <v>Missing Entry</v>
      </c>
      <c r="N46" s="4" t="str">
        <f t="shared" si="13"/>
        <v>Missing</v>
      </c>
      <c r="O46" s="4" t="str">
        <f>IF(OR(tblProducts[[#This Row],[Discount]]="",tblProducts[[#This Row],[Rating]]=""),"Missing Entry",IF(AND(tblProducts[[#This Row],[Discount]]&gt;=40%,tblProducts[[#This Row],[Rating]]&lt;3),"High Discount + Low Rating","Doesn't meet Criteria"))</f>
        <v>Missing Entry</v>
      </c>
      <c r="P46" s="4" t="str">
        <f>IF(OR(tblProducts[[#This Row],[Review]]="",tblProducts[[#This Row],[Discount]]=""),"Missing Entry",IF(AND(tblProducts[[#This Row],[Discount]]&gt;=40%,tblProducts[[#This Row],[Review]]&lt;15),"High Discount + Low Engagement","Doesn't meet Criteria"))</f>
        <v>Missing Entry</v>
      </c>
      <c r="Q46" s="4" t="str">
        <f>IF(OR(tblProducts[[#This Row],[Review]]="",tblProducts[[#This Row],[Rating]]=""),"Missing Entry",IF(AND(tblProducts[[#This Row],[Review]]&gt;=15,tblProducts[[#This Row],[Rating]]&gt;=3,tblProducts[[#This Row],[Rating]]&lt;=4.5),"Many Reviews + Average Rating","Doesn't meet Criteria"))</f>
        <v>Missing Entry</v>
      </c>
      <c r="R46" s="4" t="str">
        <f>IF(OR(tblProducts[[#This Row],[Review]]="",tblProducts[[#This Row],[Rating]]=""),"Missing Entry",IF(AND(tblProducts[[#This Row],[Review]]&gt;=15,tblProducts[[#This Row],[Rating]]&gt;4.5),"Strong Engagement + Excellent Rating","Doesn't meet criteria"))</f>
        <v>Missing Entry</v>
      </c>
    </row>
    <row r="47" spans="1:18" x14ac:dyDescent="0.35">
      <c r="A47" s="4" t="s">
        <v>148</v>
      </c>
      <c r="B47" s="6">
        <v>671</v>
      </c>
      <c r="C47" s="8">
        <v>1316</v>
      </c>
      <c r="D47" s="18" t="str">
        <f t="shared" si="7"/>
        <v>OK</v>
      </c>
      <c r="E47" s="21" t="str">
        <f t="shared" si="8"/>
        <v>Medium Price</v>
      </c>
      <c r="F47" s="9">
        <f t="shared" si="9"/>
        <v>645</v>
      </c>
      <c r="G47" s="14">
        <v>0.5</v>
      </c>
      <c r="H47" s="16" t="str">
        <f t="shared" si="10"/>
        <v>OK</v>
      </c>
      <c r="I47" s="16" t="str">
        <f t="shared" si="11"/>
        <v>High Discount</v>
      </c>
      <c r="J47" s="11"/>
      <c r="K47" s="11" t="str">
        <f>IF(tblProducts[[#This Row],[Review]]="","Missing Entry",IF(tblProducts[[#This Row],[Review]]&gt;=Review_Q3, "Strong  Customer Engagement","Low Customer Engagement"))</f>
        <v>Missing Entry</v>
      </c>
      <c r="M47" t="str">
        <f t="shared" si="12"/>
        <v>Missing Entry</v>
      </c>
      <c r="N47" s="4" t="str">
        <f t="shared" si="13"/>
        <v>Missing</v>
      </c>
      <c r="O47" s="4" t="str">
        <f>IF(OR(tblProducts[[#This Row],[Discount]]="",tblProducts[[#This Row],[Rating]]=""),"Missing Entry",IF(AND(tblProducts[[#This Row],[Discount]]&gt;=40%,tblProducts[[#This Row],[Rating]]&lt;3),"High Discount + Low Rating","Doesn't meet Criteria"))</f>
        <v>Missing Entry</v>
      </c>
      <c r="P47" s="4" t="str">
        <f>IF(OR(tblProducts[[#This Row],[Review]]="",tblProducts[[#This Row],[Discount]]=""),"Missing Entry",IF(AND(tblProducts[[#This Row],[Discount]]&gt;=40%,tblProducts[[#This Row],[Review]]&lt;15),"High Discount + Low Engagement","Doesn't meet Criteria"))</f>
        <v>Missing Entry</v>
      </c>
      <c r="Q47" s="4" t="str">
        <f>IF(OR(tblProducts[[#This Row],[Review]]="",tblProducts[[#This Row],[Rating]]=""),"Missing Entry",IF(AND(tblProducts[[#This Row],[Review]]&gt;=15,tblProducts[[#This Row],[Rating]]&gt;=3,tblProducts[[#This Row],[Rating]]&lt;=4.5),"Many Reviews + Average Rating","Doesn't meet Criteria"))</f>
        <v>Missing Entry</v>
      </c>
      <c r="R47" s="4" t="str">
        <f>IF(OR(tblProducts[[#This Row],[Review]]="",tblProducts[[#This Row],[Rating]]=""),"Missing Entry",IF(AND(tblProducts[[#This Row],[Review]]&gt;=15,tblProducts[[#This Row],[Rating]]&gt;4.5),"Strong Engagement + Excellent Rating","Doesn't meet criteria"))</f>
        <v>Missing Entry</v>
      </c>
    </row>
    <row r="48" spans="1:18" x14ac:dyDescent="0.35">
      <c r="A48" s="4" t="s">
        <v>355</v>
      </c>
      <c r="B48" s="6">
        <v>1200</v>
      </c>
      <c r="C48" s="8">
        <v>1950</v>
      </c>
      <c r="D48" s="18" t="str">
        <f t="shared" si="7"/>
        <v>OK</v>
      </c>
      <c r="E48" s="21" t="str">
        <f t="shared" si="8"/>
        <v>Medium Price</v>
      </c>
      <c r="F48" s="9">
        <f t="shared" si="9"/>
        <v>750</v>
      </c>
      <c r="G48" s="14">
        <v>0.33</v>
      </c>
      <c r="H48" s="16" t="str">
        <f t="shared" si="10"/>
        <v>OK</v>
      </c>
      <c r="I48" s="16" t="str">
        <f t="shared" si="11"/>
        <v>Medium Discount</v>
      </c>
      <c r="J48" s="11"/>
      <c r="K48" s="11" t="str">
        <f>IF(tblProducts[[#This Row],[Review]]="","Missing Entry",IF(tblProducts[[#This Row],[Review]]&gt;=Review_Q3, "Strong  Customer Engagement","Low Customer Engagement"))</f>
        <v>Missing Entry</v>
      </c>
      <c r="M48" t="str">
        <f t="shared" si="12"/>
        <v>Missing Entry</v>
      </c>
      <c r="N48" s="4" t="str">
        <f t="shared" si="13"/>
        <v>Missing</v>
      </c>
      <c r="O48" s="4" t="str">
        <f>IF(OR(tblProducts[[#This Row],[Discount]]="",tblProducts[[#This Row],[Rating]]=""),"Missing Entry",IF(AND(tblProducts[[#This Row],[Discount]]&gt;=40%,tblProducts[[#This Row],[Rating]]&lt;3),"High Discount + Low Rating","Doesn't meet Criteria"))</f>
        <v>Missing Entry</v>
      </c>
      <c r="P48" s="4" t="str">
        <f>IF(OR(tblProducts[[#This Row],[Review]]="",tblProducts[[#This Row],[Discount]]=""),"Missing Entry",IF(AND(tblProducts[[#This Row],[Discount]]&gt;=40%,tblProducts[[#This Row],[Review]]&lt;15),"High Discount + Low Engagement","Doesn't meet Criteria"))</f>
        <v>Missing Entry</v>
      </c>
      <c r="Q48" s="4" t="str">
        <f>IF(OR(tblProducts[[#This Row],[Review]]="",tblProducts[[#This Row],[Rating]]=""),"Missing Entry",IF(AND(tblProducts[[#This Row],[Review]]&gt;=15,tblProducts[[#This Row],[Rating]]&gt;=3,tblProducts[[#This Row],[Rating]]&lt;=4.5),"Many Reviews + Average Rating","Doesn't meet Criteria"))</f>
        <v>Missing Entry</v>
      </c>
      <c r="R48" s="4" t="str">
        <f>IF(OR(tblProducts[[#This Row],[Review]]="",tblProducts[[#This Row],[Rating]]=""),"Missing Entry",IF(AND(tblProducts[[#This Row],[Review]]&gt;=15,tblProducts[[#This Row],[Rating]]&gt;4.5),"Strong Engagement + Excellent Rating","Doesn't meet criteria"))</f>
        <v>Missing Entry</v>
      </c>
    </row>
    <row r="49" spans="1:18" x14ac:dyDescent="0.35">
      <c r="A49" s="4" t="s">
        <v>154</v>
      </c>
      <c r="B49" s="6">
        <v>199</v>
      </c>
      <c r="C49" s="8">
        <v>504</v>
      </c>
      <c r="D49" s="18" t="str">
        <f t="shared" si="7"/>
        <v>OK</v>
      </c>
      <c r="E49" s="21" t="str">
        <f t="shared" si="8"/>
        <v>Low Price</v>
      </c>
      <c r="F49" s="9">
        <f t="shared" si="9"/>
        <v>305</v>
      </c>
      <c r="G49" s="14">
        <v>0.49</v>
      </c>
      <c r="H49" s="16" t="str">
        <f t="shared" si="10"/>
        <v>OK</v>
      </c>
      <c r="I49" s="16" t="str">
        <f t="shared" si="11"/>
        <v>High Discount</v>
      </c>
      <c r="J49" s="11"/>
      <c r="K49" s="11" t="str">
        <f>IF(tblProducts[[#This Row],[Review]]="","Missing Entry",IF(tblProducts[[#This Row],[Review]]&gt;=Review_Q3, "Strong  Customer Engagement","Low Customer Engagement"))</f>
        <v>Missing Entry</v>
      </c>
      <c r="M49" t="str">
        <f t="shared" si="12"/>
        <v>Missing Entry</v>
      </c>
      <c r="N49" s="4" t="str">
        <f t="shared" si="13"/>
        <v>Missing</v>
      </c>
      <c r="O49" s="4" t="str">
        <f>IF(OR(tblProducts[[#This Row],[Discount]]="",tblProducts[[#This Row],[Rating]]=""),"Missing Entry",IF(AND(tblProducts[[#This Row],[Discount]]&gt;=40%,tblProducts[[#This Row],[Rating]]&lt;3),"High Discount + Low Rating","Doesn't meet Criteria"))</f>
        <v>Missing Entry</v>
      </c>
      <c r="P49" s="4" t="str">
        <f>IF(OR(tblProducts[[#This Row],[Review]]="",tblProducts[[#This Row],[Discount]]=""),"Missing Entry",IF(AND(tblProducts[[#This Row],[Discount]]&gt;=40%,tblProducts[[#This Row],[Review]]&lt;15),"High Discount + Low Engagement","Doesn't meet Criteria"))</f>
        <v>Missing Entry</v>
      </c>
      <c r="Q49" s="4" t="str">
        <f>IF(OR(tblProducts[[#This Row],[Review]]="",tblProducts[[#This Row],[Rating]]=""),"Missing Entry",IF(AND(tblProducts[[#This Row],[Review]]&gt;=15,tblProducts[[#This Row],[Rating]]&gt;=3,tblProducts[[#This Row],[Rating]]&lt;=4.5),"Many Reviews + Average Rating","Doesn't meet Criteria"))</f>
        <v>Missing Entry</v>
      </c>
      <c r="R49" s="4" t="str">
        <f>IF(OR(tblProducts[[#This Row],[Review]]="",tblProducts[[#This Row],[Rating]]=""),"Missing Entry",IF(AND(tblProducts[[#This Row],[Review]]&gt;=15,tblProducts[[#This Row],[Rating]]&gt;4.5),"Strong Engagement + Excellent Rating","Doesn't meet criteria"))</f>
        <v>Missing Entry</v>
      </c>
    </row>
    <row r="50" spans="1:18" x14ac:dyDescent="0.35">
      <c r="A50" s="4" t="s">
        <v>157</v>
      </c>
      <c r="B50" s="6">
        <v>299</v>
      </c>
      <c r="C50" s="8">
        <v>600</v>
      </c>
      <c r="D50" s="18" t="str">
        <f t="shared" si="7"/>
        <v>OK</v>
      </c>
      <c r="E50" s="21" t="str">
        <f t="shared" si="8"/>
        <v>Low Price</v>
      </c>
      <c r="F50" s="9">
        <f t="shared" si="9"/>
        <v>301</v>
      </c>
      <c r="G50" s="14">
        <v>0.38</v>
      </c>
      <c r="H50" s="16" t="str">
        <f t="shared" si="10"/>
        <v>OK</v>
      </c>
      <c r="I50" s="16" t="str">
        <f t="shared" si="11"/>
        <v>Medium Discount</v>
      </c>
      <c r="J50" s="11"/>
      <c r="K50" s="11" t="str">
        <f>IF(tblProducts[[#This Row],[Review]]="","Missing Entry",IF(tblProducts[[#This Row],[Review]]&gt;=Review_Q3, "Strong  Customer Engagement","Low Customer Engagement"))</f>
        <v>Missing Entry</v>
      </c>
      <c r="M50" t="str">
        <f t="shared" si="12"/>
        <v>Missing Entry</v>
      </c>
      <c r="N50" s="4" t="str">
        <f t="shared" si="13"/>
        <v>Missing</v>
      </c>
      <c r="O50" s="4" t="str">
        <f>IF(OR(tblProducts[[#This Row],[Discount]]="",tblProducts[[#This Row],[Rating]]=""),"Missing Entry",IF(AND(tblProducts[[#This Row],[Discount]]&gt;=40%,tblProducts[[#This Row],[Rating]]&lt;3),"High Discount + Low Rating","Doesn't meet Criteria"))</f>
        <v>Missing Entry</v>
      </c>
      <c r="P50" s="4" t="str">
        <f>IF(OR(tblProducts[[#This Row],[Review]]="",tblProducts[[#This Row],[Discount]]=""),"Missing Entry",IF(AND(tblProducts[[#This Row],[Discount]]&gt;=40%,tblProducts[[#This Row],[Review]]&lt;15),"High Discount + Low Engagement","Doesn't meet Criteria"))</f>
        <v>Missing Entry</v>
      </c>
      <c r="Q50" s="4" t="str">
        <f>IF(OR(tblProducts[[#This Row],[Review]]="",tblProducts[[#This Row],[Rating]]=""),"Missing Entry",IF(AND(tblProducts[[#This Row],[Review]]&gt;=15,tblProducts[[#This Row],[Rating]]&gt;=3,tblProducts[[#This Row],[Rating]]&lt;=4.5),"Many Reviews + Average Rating","Doesn't meet Criteria"))</f>
        <v>Missing Entry</v>
      </c>
      <c r="R50" s="4" t="str">
        <f>IF(OR(tblProducts[[#This Row],[Review]]="",tblProducts[[#This Row],[Rating]]=""),"Missing Entry",IF(AND(tblProducts[[#This Row],[Review]]&gt;=15,tblProducts[[#This Row],[Rating]]&gt;4.5),"Strong Engagement + Excellent Rating","Doesn't meet criteria"))</f>
        <v>Missing Entry</v>
      </c>
    </row>
    <row r="51" spans="1:18" x14ac:dyDescent="0.35">
      <c r="A51" s="4" t="s">
        <v>160</v>
      </c>
      <c r="B51" s="6">
        <v>1660</v>
      </c>
      <c r="C51" s="8">
        <v>1699</v>
      </c>
      <c r="D51" s="18" t="str">
        <f t="shared" si="7"/>
        <v>OK</v>
      </c>
      <c r="E51" s="21" t="str">
        <f t="shared" si="8"/>
        <v>Medium Price</v>
      </c>
      <c r="F51" s="9">
        <f t="shared" si="9"/>
        <v>39</v>
      </c>
      <c r="G51" s="14">
        <v>0.61</v>
      </c>
      <c r="H51" s="16" t="str">
        <f t="shared" si="10"/>
        <v>OK</v>
      </c>
      <c r="I51" s="16" t="str">
        <f t="shared" si="11"/>
        <v>High Discount</v>
      </c>
      <c r="J51" s="11"/>
      <c r="K51" s="11" t="str">
        <f>IF(tblProducts[[#This Row],[Review]]="","Missing Entry",IF(tblProducts[[#This Row],[Review]]&gt;=Review_Q3, "Strong  Customer Engagement","Low Customer Engagement"))</f>
        <v>Missing Entry</v>
      </c>
      <c r="M51" t="str">
        <f t="shared" si="12"/>
        <v>Missing Entry</v>
      </c>
      <c r="N51" s="4" t="str">
        <f t="shared" si="13"/>
        <v>Missing</v>
      </c>
      <c r="O51" s="4" t="str">
        <f>IF(OR(tblProducts[[#This Row],[Discount]]="",tblProducts[[#This Row],[Rating]]=""),"Missing Entry",IF(AND(tblProducts[[#This Row],[Discount]]&gt;=40%,tblProducts[[#This Row],[Rating]]&lt;3),"High Discount + Low Rating","Doesn't meet Criteria"))</f>
        <v>Missing Entry</v>
      </c>
      <c r="P51" s="4" t="str">
        <f>IF(OR(tblProducts[[#This Row],[Review]]="",tblProducts[[#This Row],[Discount]]=""),"Missing Entry",IF(AND(tblProducts[[#This Row],[Discount]]&gt;=40%,tblProducts[[#This Row],[Review]]&lt;15),"High Discount + Low Engagement","Doesn't meet Criteria"))</f>
        <v>Missing Entry</v>
      </c>
      <c r="Q51" s="4" t="str">
        <f>IF(OR(tblProducts[[#This Row],[Review]]="",tblProducts[[#This Row],[Rating]]=""),"Missing Entry",IF(AND(tblProducts[[#This Row],[Review]]&gt;=15,tblProducts[[#This Row],[Rating]]&gt;=3,tblProducts[[#This Row],[Rating]]&lt;=4.5),"Many Reviews + Average Rating","Doesn't meet Criteria"))</f>
        <v>Missing Entry</v>
      </c>
      <c r="R51" s="4" t="str">
        <f>IF(OR(tblProducts[[#This Row],[Review]]="",tblProducts[[#This Row],[Rating]]=""),"Missing Entry",IF(AND(tblProducts[[#This Row],[Review]]&gt;=15,tblProducts[[#This Row],[Rating]]&gt;4.5),"Strong Engagement + Excellent Rating","Doesn't meet criteria"))</f>
        <v>Missing Entry</v>
      </c>
    </row>
    <row r="52" spans="1:18" x14ac:dyDescent="0.35">
      <c r="A52" s="4" t="s">
        <v>163</v>
      </c>
      <c r="B52" s="6">
        <v>299</v>
      </c>
      <c r="C52" s="8">
        <v>384</v>
      </c>
      <c r="D52" s="18" t="str">
        <f t="shared" si="7"/>
        <v>OK</v>
      </c>
      <c r="E52" s="21" t="str">
        <f t="shared" si="8"/>
        <v>Low Price</v>
      </c>
      <c r="F52" s="9">
        <f t="shared" si="9"/>
        <v>85</v>
      </c>
      <c r="G52" s="14">
        <v>0.5</v>
      </c>
      <c r="H52" s="16" t="str">
        <f t="shared" si="10"/>
        <v>OK</v>
      </c>
      <c r="I52" s="16" t="str">
        <f t="shared" si="11"/>
        <v>High Discount</v>
      </c>
      <c r="J52" s="11"/>
      <c r="K52" s="11" t="str">
        <f>IF(tblProducts[[#This Row],[Review]]="","Missing Entry",IF(tblProducts[[#This Row],[Review]]&gt;=Review_Q3, "Strong  Customer Engagement","Low Customer Engagement"))</f>
        <v>Missing Entry</v>
      </c>
      <c r="M52" t="str">
        <f t="shared" si="12"/>
        <v>Missing Entry</v>
      </c>
      <c r="N52" s="4" t="str">
        <f t="shared" si="13"/>
        <v>Missing</v>
      </c>
      <c r="O52" s="4" t="str">
        <f>IF(OR(tblProducts[[#This Row],[Discount]]="",tblProducts[[#This Row],[Rating]]=""),"Missing Entry",IF(AND(tblProducts[[#This Row],[Discount]]&gt;=40%,tblProducts[[#This Row],[Rating]]&lt;3),"High Discount + Low Rating","Doesn't meet Criteria"))</f>
        <v>Missing Entry</v>
      </c>
      <c r="P52" s="4" t="str">
        <f>IF(OR(tblProducts[[#This Row],[Review]]="",tblProducts[[#This Row],[Discount]]=""),"Missing Entry",IF(AND(tblProducts[[#This Row],[Discount]]&gt;=40%,tblProducts[[#This Row],[Review]]&lt;15),"High Discount + Low Engagement","Doesn't meet Criteria"))</f>
        <v>Missing Entry</v>
      </c>
      <c r="Q52" s="4" t="str">
        <f>IF(OR(tblProducts[[#This Row],[Review]]="",tblProducts[[#This Row],[Rating]]=""),"Missing Entry",IF(AND(tblProducts[[#This Row],[Review]]&gt;=15,tblProducts[[#This Row],[Rating]]&gt;=3,tblProducts[[#This Row],[Rating]]&lt;=4.5),"Many Reviews + Average Rating","Doesn't meet Criteria"))</f>
        <v>Missing Entry</v>
      </c>
      <c r="R52" s="4" t="str">
        <f>IF(OR(tblProducts[[#This Row],[Review]]="",tblProducts[[#This Row],[Rating]]=""),"Missing Entry",IF(AND(tblProducts[[#This Row],[Review]]&gt;=15,tblProducts[[#This Row],[Rating]]&gt;4.5),"Strong Engagement + Excellent Rating","Doesn't meet criteria"))</f>
        <v>Missing Entry</v>
      </c>
    </row>
    <row r="53" spans="1:18" x14ac:dyDescent="0.35">
      <c r="A53" s="4" t="s">
        <v>356</v>
      </c>
      <c r="B53" s="6">
        <v>1459</v>
      </c>
      <c r="C53" s="8">
        <v>1499</v>
      </c>
      <c r="D53" s="18" t="str">
        <f t="shared" si="7"/>
        <v>OK</v>
      </c>
      <c r="E53" s="21" t="str">
        <f t="shared" si="8"/>
        <v>Medium Price</v>
      </c>
      <c r="F53" s="9">
        <f t="shared" si="9"/>
        <v>40</v>
      </c>
      <c r="G53" s="14">
        <v>0.02</v>
      </c>
      <c r="H53" s="16" t="str">
        <f t="shared" si="10"/>
        <v>OK</v>
      </c>
      <c r="I53" s="16" t="str">
        <f t="shared" si="11"/>
        <v>Low Discount</v>
      </c>
      <c r="J53" s="11"/>
      <c r="K53" s="11" t="str">
        <f>IF(tblProducts[[#This Row],[Review]]="","Missing Entry",IF(tblProducts[[#This Row],[Review]]&gt;=Review_Q3, "Strong  Customer Engagement","Low Customer Engagement"))</f>
        <v>Missing Entry</v>
      </c>
      <c r="M53" t="str">
        <f t="shared" si="12"/>
        <v>Missing Entry</v>
      </c>
      <c r="N53" s="4" t="str">
        <f t="shared" si="13"/>
        <v>Missing</v>
      </c>
      <c r="O53" s="4" t="str">
        <f>IF(OR(tblProducts[[#This Row],[Discount]]="",tblProducts[[#This Row],[Rating]]=""),"Missing Entry",IF(AND(tblProducts[[#This Row],[Discount]]&gt;=40%,tblProducts[[#This Row],[Rating]]&lt;3),"High Discount + Low Rating","Doesn't meet Criteria"))</f>
        <v>Missing Entry</v>
      </c>
      <c r="P53" s="4" t="str">
        <f>IF(OR(tblProducts[[#This Row],[Review]]="",tblProducts[[#This Row],[Discount]]=""),"Missing Entry",IF(AND(tblProducts[[#This Row],[Discount]]&gt;=40%,tblProducts[[#This Row],[Review]]&lt;15),"High Discount + Low Engagement","Doesn't meet Criteria"))</f>
        <v>Missing Entry</v>
      </c>
      <c r="Q53" s="4" t="str">
        <f>IF(OR(tblProducts[[#This Row],[Review]]="",tblProducts[[#This Row],[Rating]]=""),"Missing Entry",IF(AND(tblProducts[[#This Row],[Review]]&gt;=15,tblProducts[[#This Row],[Rating]]&gt;=3,tblProducts[[#This Row],[Rating]]&lt;=4.5),"Many Reviews + Average Rating","Doesn't meet Criteria"))</f>
        <v>Missing Entry</v>
      </c>
      <c r="R53" s="4" t="str">
        <f>IF(OR(tblProducts[[#This Row],[Review]]="",tblProducts[[#This Row],[Rating]]=""),"Missing Entry",IF(AND(tblProducts[[#This Row],[Review]]&gt;=15,tblProducts[[#This Row],[Rating]]&gt;4.5),"Strong Engagement + Excellent Rating","Doesn't meet criteria"))</f>
        <v>Missing Entry</v>
      </c>
    </row>
    <row r="54" spans="1:18" x14ac:dyDescent="0.35">
      <c r="A54" s="4" t="s">
        <v>168</v>
      </c>
      <c r="B54" s="6">
        <v>799</v>
      </c>
      <c r="C54" s="8">
        <v>1343</v>
      </c>
      <c r="D54" s="18" t="str">
        <f t="shared" si="7"/>
        <v>OK</v>
      </c>
      <c r="E54" s="21" t="str">
        <f t="shared" si="8"/>
        <v>Medium Price</v>
      </c>
      <c r="F54" s="9">
        <f t="shared" si="9"/>
        <v>544</v>
      </c>
      <c r="G54" s="14">
        <v>0.22</v>
      </c>
      <c r="H54" s="16" t="str">
        <f t="shared" si="10"/>
        <v>OK</v>
      </c>
      <c r="I54" s="16" t="str">
        <f t="shared" si="11"/>
        <v>Medium Discount</v>
      </c>
      <c r="J54" s="11"/>
      <c r="K54" s="11" t="str">
        <f>IF(tblProducts[[#This Row],[Review]]="","Missing Entry",IF(tblProducts[[#This Row],[Review]]&gt;=Review_Q3, "Strong  Customer Engagement","Low Customer Engagement"))</f>
        <v>Missing Entry</v>
      </c>
      <c r="M54" t="str">
        <f t="shared" si="12"/>
        <v>Missing Entry</v>
      </c>
      <c r="N54" s="4" t="str">
        <f t="shared" si="13"/>
        <v>Missing</v>
      </c>
      <c r="O54" s="4" t="str">
        <f>IF(OR(tblProducts[[#This Row],[Discount]]="",tblProducts[[#This Row],[Rating]]=""),"Missing Entry",IF(AND(tblProducts[[#This Row],[Discount]]&gt;=40%,tblProducts[[#This Row],[Rating]]&lt;3),"High Discount + Low Rating","Doesn't meet Criteria"))</f>
        <v>Missing Entry</v>
      </c>
      <c r="P54" s="4" t="str">
        <f>IF(OR(tblProducts[[#This Row],[Review]]="",tblProducts[[#This Row],[Discount]]=""),"Missing Entry",IF(AND(tblProducts[[#This Row],[Discount]]&gt;=40%,tblProducts[[#This Row],[Review]]&lt;15),"High Discount + Low Engagement","Doesn't meet Criteria"))</f>
        <v>Missing Entry</v>
      </c>
      <c r="Q54" s="4" t="str">
        <f>IF(OR(tblProducts[[#This Row],[Review]]="",tblProducts[[#This Row],[Rating]]=""),"Missing Entry",IF(AND(tblProducts[[#This Row],[Review]]&gt;=15,tblProducts[[#This Row],[Rating]]&gt;=3,tblProducts[[#This Row],[Rating]]&lt;=4.5),"Many Reviews + Average Rating","Doesn't meet Criteria"))</f>
        <v>Missing Entry</v>
      </c>
      <c r="R54" s="4" t="str">
        <f>IF(OR(tblProducts[[#This Row],[Review]]="",tblProducts[[#This Row],[Rating]]=""),"Missing Entry",IF(AND(tblProducts[[#This Row],[Review]]&gt;=15,tblProducts[[#This Row],[Rating]]&gt;4.5),"Strong Engagement + Excellent Rating","Doesn't meet criteria"))</f>
        <v>Missing Entry</v>
      </c>
    </row>
    <row r="55" spans="1:18" x14ac:dyDescent="0.35">
      <c r="A55" s="4" t="s">
        <v>170</v>
      </c>
      <c r="B55" s="6">
        <v>499</v>
      </c>
      <c r="C55" s="8">
        <v>900</v>
      </c>
      <c r="D55" s="18" t="str">
        <f t="shared" si="7"/>
        <v>OK</v>
      </c>
      <c r="E55" s="21" t="str">
        <f t="shared" si="8"/>
        <v>Medium Price</v>
      </c>
      <c r="F55" s="9">
        <f t="shared" si="9"/>
        <v>401</v>
      </c>
      <c r="G55" s="14">
        <v>0.03</v>
      </c>
      <c r="H55" s="16" t="str">
        <f t="shared" si="10"/>
        <v>OK</v>
      </c>
      <c r="I55" s="16" t="str">
        <f t="shared" si="11"/>
        <v>Low Discount</v>
      </c>
      <c r="J55" s="11"/>
      <c r="K55" s="11" t="str">
        <f>IF(tblProducts[[#This Row],[Review]]="","Missing Entry",IF(tblProducts[[#This Row],[Review]]&gt;=Review_Q3, "Strong  Customer Engagement","Low Customer Engagement"))</f>
        <v>Missing Entry</v>
      </c>
      <c r="M55" t="str">
        <f t="shared" si="12"/>
        <v>Missing Entry</v>
      </c>
      <c r="N55" s="4" t="str">
        <f t="shared" si="13"/>
        <v>Missing</v>
      </c>
      <c r="O55" s="4" t="str">
        <f>IF(OR(tblProducts[[#This Row],[Discount]]="",tblProducts[[#This Row],[Rating]]=""),"Missing Entry",IF(AND(tblProducts[[#This Row],[Discount]]&gt;=40%,tblProducts[[#This Row],[Rating]]&lt;3),"High Discount + Low Rating","Doesn't meet Criteria"))</f>
        <v>Missing Entry</v>
      </c>
      <c r="P55" s="4" t="str">
        <f>IF(OR(tblProducts[[#This Row],[Review]]="",tblProducts[[#This Row],[Discount]]=""),"Missing Entry",IF(AND(tblProducts[[#This Row],[Discount]]&gt;=40%,tblProducts[[#This Row],[Review]]&lt;15),"High Discount + Low Engagement","Doesn't meet Criteria"))</f>
        <v>Missing Entry</v>
      </c>
      <c r="Q55" s="4" t="str">
        <f>IF(OR(tblProducts[[#This Row],[Review]]="",tblProducts[[#This Row],[Rating]]=""),"Missing Entry",IF(AND(tblProducts[[#This Row],[Review]]&gt;=15,tblProducts[[#This Row],[Rating]]&gt;=3,tblProducts[[#This Row],[Rating]]&lt;=4.5),"Many Reviews + Average Rating","Doesn't meet Criteria"))</f>
        <v>Missing Entry</v>
      </c>
      <c r="R55" s="4" t="str">
        <f>IF(OR(tblProducts[[#This Row],[Review]]="",tblProducts[[#This Row],[Rating]]=""),"Missing Entry",IF(AND(tblProducts[[#This Row],[Review]]&gt;=15,tblProducts[[#This Row],[Rating]]&gt;4.5),"Strong Engagement + Excellent Rating","Doesn't meet criteria"))</f>
        <v>Missing Entry</v>
      </c>
    </row>
    <row r="56" spans="1:18" x14ac:dyDescent="0.35">
      <c r="A56" s="4" t="s">
        <v>173</v>
      </c>
      <c r="B56" s="6">
        <v>699</v>
      </c>
      <c r="C56" s="8">
        <v>1343</v>
      </c>
      <c r="D56" s="18" t="str">
        <f t="shared" si="7"/>
        <v>OK</v>
      </c>
      <c r="E56" s="21" t="str">
        <f t="shared" si="8"/>
        <v>Medium Price</v>
      </c>
      <c r="F56" s="9">
        <f t="shared" si="9"/>
        <v>644</v>
      </c>
      <c r="G56" s="14">
        <v>0.41</v>
      </c>
      <c r="H56" s="16" t="str">
        <f t="shared" si="10"/>
        <v>OK</v>
      </c>
      <c r="I56" s="16" t="str">
        <f t="shared" si="11"/>
        <v>High Discount</v>
      </c>
      <c r="J56" s="11"/>
      <c r="K56" s="11" t="str">
        <f>IF(tblProducts[[#This Row],[Review]]="","Missing Entry",IF(tblProducts[[#This Row],[Review]]&gt;=Review_Q3, "Strong  Customer Engagement","Low Customer Engagement"))</f>
        <v>Missing Entry</v>
      </c>
      <c r="M56" t="str">
        <f t="shared" si="12"/>
        <v>Missing Entry</v>
      </c>
      <c r="N56" s="4" t="str">
        <f t="shared" si="13"/>
        <v>Missing</v>
      </c>
      <c r="O56" s="4" t="str">
        <f>IF(OR(tblProducts[[#This Row],[Discount]]="",tblProducts[[#This Row],[Rating]]=""),"Missing Entry",IF(AND(tblProducts[[#This Row],[Discount]]&gt;=40%,tblProducts[[#This Row],[Rating]]&lt;3),"High Discount + Low Rating","Doesn't meet Criteria"))</f>
        <v>Missing Entry</v>
      </c>
      <c r="P56" s="4" t="str">
        <f>IF(OR(tblProducts[[#This Row],[Review]]="",tblProducts[[#This Row],[Discount]]=""),"Missing Entry",IF(AND(tblProducts[[#This Row],[Discount]]&gt;=40%,tblProducts[[#This Row],[Review]]&lt;15),"High Discount + Low Engagement","Doesn't meet Criteria"))</f>
        <v>Missing Entry</v>
      </c>
      <c r="Q56" s="4" t="str">
        <f>IF(OR(tblProducts[[#This Row],[Review]]="",tblProducts[[#This Row],[Rating]]=""),"Missing Entry",IF(AND(tblProducts[[#This Row],[Review]]&gt;=15,tblProducts[[#This Row],[Rating]]&gt;=3,tblProducts[[#This Row],[Rating]]&lt;=4.5),"Many Reviews + Average Rating","Doesn't meet Criteria"))</f>
        <v>Missing Entry</v>
      </c>
      <c r="R56" s="4" t="str">
        <f>IF(OR(tblProducts[[#This Row],[Review]]="",tblProducts[[#This Row],[Rating]]=""),"Missing Entry",IF(AND(tblProducts[[#This Row],[Review]]&gt;=15,tblProducts[[#This Row],[Rating]]&gt;4.5),"Strong Engagement + Excellent Rating","Doesn't meet criteria"))</f>
        <v>Missing Entry</v>
      </c>
    </row>
    <row r="57" spans="1:18" x14ac:dyDescent="0.35">
      <c r="A57" s="4" t="s">
        <v>175</v>
      </c>
      <c r="B57" s="6">
        <v>799</v>
      </c>
      <c r="C57" s="8">
        <v>1567</v>
      </c>
      <c r="D57" s="18" t="str">
        <f t="shared" si="7"/>
        <v>OK</v>
      </c>
      <c r="E57" s="21" t="str">
        <f t="shared" si="8"/>
        <v>Medium Price</v>
      </c>
      <c r="F57" s="9">
        <f t="shared" si="9"/>
        <v>768</v>
      </c>
      <c r="G57" s="14">
        <v>0.45</v>
      </c>
      <c r="H57" s="16" t="str">
        <f t="shared" si="10"/>
        <v>OK</v>
      </c>
      <c r="I57" s="16" t="str">
        <f t="shared" si="11"/>
        <v>High Discount</v>
      </c>
      <c r="J57" s="11"/>
      <c r="K57" s="11" t="str">
        <f>IF(tblProducts[[#This Row],[Review]]="","Missing Entry",IF(tblProducts[[#This Row],[Review]]&gt;=Review_Q3, "Strong  Customer Engagement","Low Customer Engagement"))</f>
        <v>Missing Entry</v>
      </c>
      <c r="M57" t="str">
        <f t="shared" si="12"/>
        <v>Missing Entry</v>
      </c>
      <c r="N57" s="4" t="str">
        <f t="shared" si="13"/>
        <v>Missing</v>
      </c>
      <c r="O57" s="4" t="str">
        <f>IF(OR(tblProducts[[#This Row],[Discount]]="",tblProducts[[#This Row],[Rating]]=""),"Missing Entry",IF(AND(tblProducts[[#This Row],[Discount]]&gt;=40%,tblProducts[[#This Row],[Rating]]&lt;3),"High Discount + Low Rating","Doesn't meet Criteria"))</f>
        <v>Missing Entry</v>
      </c>
      <c r="P57" s="4" t="str">
        <f>IF(OR(tblProducts[[#This Row],[Review]]="",tblProducts[[#This Row],[Discount]]=""),"Missing Entry",IF(AND(tblProducts[[#This Row],[Discount]]&gt;=40%,tblProducts[[#This Row],[Review]]&lt;15),"High Discount + Low Engagement","Doesn't meet Criteria"))</f>
        <v>Missing Entry</v>
      </c>
      <c r="Q57" s="4" t="str">
        <f>IF(OR(tblProducts[[#This Row],[Review]]="",tblProducts[[#This Row],[Rating]]=""),"Missing Entry",IF(AND(tblProducts[[#This Row],[Review]]&gt;=15,tblProducts[[#This Row],[Rating]]&gt;=3,tblProducts[[#This Row],[Rating]]&lt;=4.5),"Many Reviews + Average Rating","Doesn't meet Criteria"))</f>
        <v>Missing Entry</v>
      </c>
      <c r="R57" s="4" t="str">
        <f>IF(OR(tblProducts[[#This Row],[Review]]="",tblProducts[[#This Row],[Rating]]=""),"Missing Entry",IF(AND(tblProducts[[#This Row],[Review]]&gt;=15,tblProducts[[#This Row],[Rating]]&gt;4.5),"Strong Engagement + Excellent Rating","Doesn't meet criteria"))</f>
        <v>Missing Entry</v>
      </c>
    </row>
    <row r="58" spans="1:18" x14ac:dyDescent="0.35">
      <c r="A58" s="4" t="s">
        <v>357</v>
      </c>
      <c r="B58" s="6">
        <v>2799</v>
      </c>
      <c r="C58" s="8">
        <v>3810</v>
      </c>
      <c r="D58" s="18" t="str">
        <f t="shared" si="7"/>
        <v>OK</v>
      </c>
      <c r="E58" s="21" t="str">
        <f t="shared" si="8"/>
        <v>High Price</v>
      </c>
      <c r="F58" s="9">
        <f t="shared" si="9"/>
        <v>1011</v>
      </c>
      <c r="G58" s="14">
        <v>0.48</v>
      </c>
      <c r="H58" s="16" t="str">
        <f t="shared" si="10"/>
        <v>OK</v>
      </c>
      <c r="I58" s="16" t="str">
        <f t="shared" si="11"/>
        <v>High Discount</v>
      </c>
      <c r="J58" s="11"/>
      <c r="K58" s="11" t="str">
        <f>IF(tblProducts[[#This Row],[Review]]="","Missing Entry",IF(tblProducts[[#This Row],[Review]]&gt;=Review_Q3, "Strong  Customer Engagement","Low Customer Engagement"))</f>
        <v>Missing Entry</v>
      </c>
      <c r="M58" t="str">
        <f t="shared" si="12"/>
        <v>Missing Entry</v>
      </c>
      <c r="N58" s="4" t="str">
        <f t="shared" si="13"/>
        <v>Missing</v>
      </c>
      <c r="O58" s="4" t="str">
        <f>IF(OR(tblProducts[[#This Row],[Discount]]="",tblProducts[[#This Row],[Rating]]=""),"Missing Entry",IF(AND(tblProducts[[#This Row],[Discount]]&gt;=40%,tblProducts[[#This Row],[Rating]]&lt;3),"High Discount + Low Rating","Doesn't meet Criteria"))</f>
        <v>Missing Entry</v>
      </c>
      <c r="P58" s="4" t="str">
        <f>IF(OR(tblProducts[[#This Row],[Review]]="",tblProducts[[#This Row],[Discount]]=""),"Missing Entry",IF(AND(tblProducts[[#This Row],[Discount]]&gt;=40%,tblProducts[[#This Row],[Review]]&lt;15),"High Discount + Low Engagement","Doesn't meet Criteria"))</f>
        <v>Missing Entry</v>
      </c>
      <c r="Q58" s="4" t="str">
        <f>IF(OR(tblProducts[[#This Row],[Review]]="",tblProducts[[#This Row],[Rating]]=""),"Missing Entry",IF(AND(tblProducts[[#This Row],[Review]]&gt;=15,tblProducts[[#This Row],[Rating]]&gt;=3,tblProducts[[#This Row],[Rating]]&lt;=4.5),"Many Reviews + Average Rating","Doesn't meet Criteria"))</f>
        <v>Missing Entry</v>
      </c>
      <c r="R58" s="4" t="str">
        <f>IF(OR(tblProducts[[#This Row],[Review]]="",tblProducts[[#This Row],[Rating]]=""),"Missing Entry",IF(AND(tblProducts[[#This Row],[Review]]&gt;=15,tblProducts[[#This Row],[Rating]]&gt;4.5),"Strong Engagement + Excellent Rating","Doesn't meet criteria"))</f>
        <v>Missing Entry</v>
      </c>
    </row>
    <row r="59" spans="1:18" x14ac:dyDescent="0.35">
      <c r="A59" s="4" t="s">
        <v>170</v>
      </c>
      <c r="B59" s="6">
        <v>399</v>
      </c>
      <c r="C59" s="8">
        <v>896</v>
      </c>
      <c r="D59" s="18" t="str">
        <f t="shared" si="7"/>
        <v>OK</v>
      </c>
      <c r="E59" s="21" t="str">
        <f t="shared" si="8"/>
        <v>Low Price</v>
      </c>
      <c r="F59" s="9">
        <f t="shared" si="9"/>
        <v>497</v>
      </c>
      <c r="G59" s="14">
        <v>0.49</v>
      </c>
      <c r="H59" s="16" t="str">
        <f t="shared" si="10"/>
        <v>OK</v>
      </c>
      <c r="I59" s="16" t="str">
        <f t="shared" si="11"/>
        <v>High Discount</v>
      </c>
      <c r="J59" s="11"/>
      <c r="K59" s="11" t="str">
        <f>IF(tblProducts[[#This Row],[Review]]="","Missing Entry",IF(tblProducts[[#This Row],[Review]]&gt;=Review_Q3, "Strong  Customer Engagement","Low Customer Engagement"))</f>
        <v>Missing Entry</v>
      </c>
      <c r="M59" t="str">
        <f t="shared" si="12"/>
        <v>Missing Entry</v>
      </c>
      <c r="N59" s="4" t="str">
        <f t="shared" si="13"/>
        <v>Missing</v>
      </c>
      <c r="O59" s="4" t="str">
        <f>IF(OR(tblProducts[[#This Row],[Discount]]="",tblProducts[[#This Row],[Rating]]=""),"Missing Entry",IF(AND(tblProducts[[#This Row],[Discount]]&gt;=40%,tblProducts[[#This Row],[Rating]]&lt;3),"High Discount + Low Rating","Doesn't meet Criteria"))</f>
        <v>Missing Entry</v>
      </c>
      <c r="P59" s="4" t="str">
        <f>IF(OR(tblProducts[[#This Row],[Review]]="",tblProducts[[#This Row],[Discount]]=""),"Missing Entry",IF(AND(tblProducts[[#This Row],[Discount]]&gt;=40%,tblProducts[[#This Row],[Review]]&lt;15),"High Discount + Low Engagement","Doesn't meet Criteria"))</f>
        <v>Missing Entry</v>
      </c>
      <c r="Q59" s="4" t="str">
        <f>IF(OR(tblProducts[[#This Row],[Review]]="",tblProducts[[#This Row],[Rating]]=""),"Missing Entry",IF(AND(tblProducts[[#This Row],[Review]]&gt;=15,tblProducts[[#This Row],[Rating]]&gt;=3,tblProducts[[#This Row],[Rating]]&lt;=4.5),"Many Reviews + Average Rating","Doesn't meet Criteria"))</f>
        <v>Missing Entry</v>
      </c>
      <c r="R59" s="4" t="str">
        <f>IF(OR(tblProducts[[#This Row],[Review]]="",tblProducts[[#This Row],[Rating]]=""),"Missing Entry",IF(AND(tblProducts[[#This Row],[Review]]&gt;=15,tblProducts[[#This Row],[Rating]]&gt;4.5),"Strong Engagement + Excellent Rating","Doesn't meet criteria"))</f>
        <v>Missing Entry</v>
      </c>
    </row>
    <row r="60" spans="1:18" hidden="1" x14ac:dyDescent="0.35">
      <c r="A60" s="4" t="s">
        <v>358</v>
      </c>
      <c r="B60" s="6">
        <v>2170</v>
      </c>
      <c r="C60" s="8">
        <v>2500</v>
      </c>
      <c r="D60" s="18" t="str">
        <f t="shared" si="7"/>
        <v>OK</v>
      </c>
      <c r="E60" s="21" t="str">
        <f t="shared" si="8"/>
        <v>High Price</v>
      </c>
      <c r="F60" s="9">
        <f t="shared" si="9"/>
        <v>330</v>
      </c>
      <c r="G60" s="14">
        <v>0.27</v>
      </c>
      <c r="H60" s="16" t="str">
        <f t="shared" si="10"/>
        <v>OK</v>
      </c>
      <c r="I60" s="16" t="str">
        <f t="shared" si="11"/>
        <v>Medium Discount</v>
      </c>
      <c r="J60" s="11">
        <v>6</v>
      </c>
      <c r="K60" s="11" t="str">
        <f>IF(tblProducts[[#This Row],[Review]]="","Missing Entry",IF(tblProducts[[#This Row],[Review]]&gt;=Review_Q3, "Strong  Customer Engagement","Low Customer Engagement"))</f>
        <v>Low Customer Engagement</v>
      </c>
      <c r="L60" s="23">
        <v>2.5</v>
      </c>
      <c r="M60" t="str">
        <f t="shared" si="12"/>
        <v>OK</v>
      </c>
      <c r="N60" s="4" t="str">
        <f t="shared" si="13"/>
        <v>Poor</v>
      </c>
      <c r="O60" s="4" t="str">
        <f>IF(OR(tblProducts[[#This Row],[Discount]]="",tblProducts[[#This Row],[Rating]]=""),"Missing Entry",IF(AND(tblProducts[[#This Row],[Discount]]&gt;=40%,tblProducts[[#This Row],[Rating]]&lt;3),"High Discount + Low Rating","Doesn't meet Criteria"))</f>
        <v>Doesn't meet Criteria</v>
      </c>
      <c r="P60" s="4" t="str">
        <f>IF(OR(tblProducts[[#This Row],[Review]]="",tblProducts[[#This Row],[Discount]]=""),"Missing Entry",IF(AND(tblProducts[[#This Row],[Discount]]&gt;=40%,tblProducts[[#This Row],[Review]]&lt;15),"High Discount + Low Engagement","Doesn't meet Criteria"))</f>
        <v>Doesn't meet Criteria</v>
      </c>
      <c r="Q60" s="4" t="str">
        <f>IF(OR(tblProducts[[#This Row],[Review]]="",tblProducts[[#This Row],[Rating]]=""),"Missing Entry",IF(AND(tblProducts[[#This Row],[Review]]&gt;=15,tblProducts[[#This Row],[Rating]]&gt;=3,tblProducts[[#This Row],[Rating]]&lt;=4.5),"Many Reviews + Average Rating","Doesn't meet Criteria"))</f>
        <v>Doesn't meet Criteria</v>
      </c>
      <c r="R60" s="4" t="str">
        <f>IF(OR(tblProducts[[#This Row],[Review]]="",tblProducts[[#This Row],[Rating]]=""),"Missing Entry",IF(AND(tblProducts[[#This Row],[Review]]&gt;=15,tblProducts[[#This Row],[Rating]]&gt;4.5),"Strong Engagement + Excellent Rating","Doesn't meet criteria"))</f>
        <v>Doesn't meet criteria</v>
      </c>
    </row>
    <row r="61" spans="1:18" hidden="1" x14ac:dyDescent="0.35">
      <c r="A61" s="4" t="s">
        <v>359</v>
      </c>
      <c r="B61" s="6">
        <v>458</v>
      </c>
      <c r="C61" s="8">
        <v>986</v>
      </c>
      <c r="D61" s="18" t="str">
        <f t="shared" si="7"/>
        <v>OK</v>
      </c>
      <c r="E61" s="21" t="str">
        <f t="shared" si="8"/>
        <v>Low Price</v>
      </c>
      <c r="F61" s="9">
        <f t="shared" si="9"/>
        <v>528</v>
      </c>
      <c r="G61" s="14">
        <v>0.55000000000000004</v>
      </c>
      <c r="H61" s="16" t="str">
        <f t="shared" si="10"/>
        <v>OK</v>
      </c>
      <c r="I61" s="16" t="str">
        <f t="shared" si="11"/>
        <v>High Discount</v>
      </c>
      <c r="J61" s="11">
        <v>10</v>
      </c>
      <c r="K61" s="11" t="str">
        <f>IF(tblProducts[[#This Row],[Review]]="","Missing Entry",IF(tblProducts[[#This Row],[Review]]&gt;=Review_Q3, "Strong  Customer Engagement","Low Customer Engagement"))</f>
        <v>Low Customer Engagement</v>
      </c>
      <c r="L61" s="23">
        <v>3</v>
      </c>
      <c r="M61" t="str">
        <f t="shared" si="12"/>
        <v>OK</v>
      </c>
      <c r="N61" s="4" t="str">
        <f t="shared" si="13"/>
        <v>Average</v>
      </c>
      <c r="O61" s="4" t="str">
        <f>IF(OR(tblProducts[[#This Row],[Discount]]="",tblProducts[[#This Row],[Rating]]=""),"Missing Entry",IF(AND(tblProducts[[#This Row],[Discount]]&gt;=40%,tblProducts[[#This Row],[Rating]]&lt;3),"High Discount + Low Rating","Doesn't meet Criteria"))</f>
        <v>Doesn't meet Criteria</v>
      </c>
      <c r="P61" s="4" t="str">
        <f>IF(OR(tblProducts[[#This Row],[Review]]="",tblProducts[[#This Row],[Discount]]=""),"Missing Entry",IF(AND(tblProducts[[#This Row],[Discount]]&gt;=40%,tblProducts[[#This Row],[Review]]&lt;15),"High Discount + Low Engagement","Doesn't meet Criteria"))</f>
        <v>High Discount + Low Engagement</v>
      </c>
      <c r="Q61" s="4" t="str">
        <f>IF(OR(tblProducts[[#This Row],[Review]]="",tblProducts[[#This Row],[Rating]]=""),"Missing Entry",IF(AND(tblProducts[[#This Row],[Review]]&gt;=15,tblProducts[[#This Row],[Rating]]&gt;=3,tblProducts[[#This Row],[Rating]]&lt;=4.5),"Many Reviews + Average Rating","Doesn't meet Criteria"))</f>
        <v>Doesn't meet Criteria</v>
      </c>
      <c r="R61" s="4" t="str">
        <f>IF(OR(tblProducts[[#This Row],[Review]]="",tblProducts[[#This Row],[Rating]]=""),"Missing Entry",IF(AND(tblProducts[[#This Row],[Review]]&gt;=15,tblProducts[[#This Row],[Rating]]&gt;4.5),"Strong Engagement + Excellent Rating","Doesn't meet criteria"))</f>
        <v>Doesn't meet criteria</v>
      </c>
    </row>
    <row r="62" spans="1:18" hidden="1" x14ac:dyDescent="0.35">
      <c r="A62" s="4" t="s">
        <v>360</v>
      </c>
      <c r="B62" s="6">
        <v>2115</v>
      </c>
      <c r="C62" s="8">
        <v>4700</v>
      </c>
      <c r="D62" s="18" t="str">
        <f t="shared" si="7"/>
        <v>OK</v>
      </c>
      <c r="E62" s="21" t="str">
        <f t="shared" si="8"/>
        <v>High Price</v>
      </c>
      <c r="F62" s="9">
        <f t="shared" si="9"/>
        <v>2585</v>
      </c>
      <c r="G62" s="14">
        <v>0.13</v>
      </c>
      <c r="H62" s="16" t="str">
        <f t="shared" si="10"/>
        <v>OK</v>
      </c>
      <c r="I62" s="16" t="str">
        <f t="shared" si="11"/>
        <v>Low Discount</v>
      </c>
      <c r="J62" s="11">
        <v>13</v>
      </c>
      <c r="K62" s="11" t="str">
        <f>IF(tblProducts[[#This Row],[Review]]="","Missing Entry",IF(tblProducts[[#This Row],[Review]]&gt;=Review_Q3, "Strong  Customer Engagement","Low Customer Engagement"))</f>
        <v>Low Customer Engagement</v>
      </c>
      <c r="L62" s="23">
        <v>2.1</v>
      </c>
      <c r="M62" t="str">
        <f t="shared" si="12"/>
        <v>OK</v>
      </c>
      <c r="N62" s="4" t="str">
        <f t="shared" si="13"/>
        <v>Poor</v>
      </c>
      <c r="O62" s="4" t="str">
        <f>IF(OR(tblProducts[[#This Row],[Discount]]="",tblProducts[[#This Row],[Rating]]=""),"Missing Entry",IF(AND(tblProducts[[#This Row],[Discount]]&gt;=40%,tblProducts[[#This Row],[Rating]]&lt;3),"High Discount + Low Rating","Doesn't meet Criteria"))</f>
        <v>Doesn't meet Criteria</v>
      </c>
      <c r="P62" s="4" t="str">
        <f>IF(OR(tblProducts[[#This Row],[Review]]="",tblProducts[[#This Row],[Discount]]=""),"Missing Entry",IF(AND(tblProducts[[#This Row],[Discount]]&gt;=40%,tblProducts[[#This Row],[Review]]&lt;15),"High Discount + Low Engagement","Doesn't meet Criteria"))</f>
        <v>Doesn't meet Criteria</v>
      </c>
      <c r="Q62" s="4" t="str">
        <f>IF(OR(tblProducts[[#This Row],[Review]]="",tblProducts[[#This Row],[Rating]]=""),"Missing Entry",IF(AND(tblProducts[[#This Row],[Review]]&gt;=15,tblProducts[[#This Row],[Rating]]&gt;=3,tblProducts[[#This Row],[Rating]]&lt;=4.5),"Many Reviews + Average Rating","Doesn't meet Criteria"))</f>
        <v>Doesn't meet Criteria</v>
      </c>
      <c r="R62" s="4" t="str">
        <f>IF(OR(tblProducts[[#This Row],[Review]]="",tblProducts[[#This Row],[Rating]]=""),"Missing Entry",IF(AND(tblProducts[[#This Row],[Review]]&gt;=15,tblProducts[[#This Row],[Rating]]&gt;4.5),"Strong Engagement + Excellent Rating","Doesn't meet criteria"))</f>
        <v>Doesn't meet criteria</v>
      </c>
    </row>
    <row r="63" spans="1:18" hidden="1" x14ac:dyDescent="0.35">
      <c r="A63" s="4" t="s">
        <v>194</v>
      </c>
      <c r="B63" s="6">
        <v>445</v>
      </c>
      <c r="C63" s="8">
        <v>873</v>
      </c>
      <c r="D63" s="18" t="str">
        <f t="shared" si="7"/>
        <v>OK</v>
      </c>
      <c r="E63" s="21" t="str">
        <f t="shared" si="8"/>
        <v>Low Price</v>
      </c>
      <c r="F63" s="9">
        <f t="shared" si="9"/>
        <v>428</v>
      </c>
      <c r="G63" s="14">
        <v>0.54</v>
      </c>
      <c r="H63" s="16" t="str">
        <f t="shared" si="10"/>
        <v>OK</v>
      </c>
      <c r="I63" s="16" t="str">
        <f t="shared" si="11"/>
        <v>High Discount</v>
      </c>
      <c r="J63" s="11">
        <v>69</v>
      </c>
      <c r="K63" s="11" t="str">
        <f>IF(tblProducts[[#This Row],[Review]]="","Missing Entry",IF(tblProducts[[#This Row],[Review]]&gt;=Review_Q3, "Strong  Customer Engagement","Low Customer Engagement"))</f>
        <v>Strong  Customer Engagement</v>
      </c>
      <c r="L63" s="23">
        <v>2.8</v>
      </c>
      <c r="M63" t="str">
        <f t="shared" si="12"/>
        <v>OK</v>
      </c>
      <c r="N63" s="4" t="str">
        <f t="shared" si="13"/>
        <v>Poor</v>
      </c>
      <c r="O63" s="4" t="str">
        <f>IF(OR(tblProducts[[#This Row],[Discount]]="",tblProducts[[#This Row],[Rating]]=""),"Missing Entry",IF(AND(tblProducts[[#This Row],[Discount]]&gt;=40%,tblProducts[[#This Row],[Rating]]&lt;3),"High Discount + Low Rating","Doesn't meet Criteria"))</f>
        <v>High Discount + Low Rating</v>
      </c>
      <c r="P63" s="4" t="str">
        <f>IF(OR(tblProducts[[#This Row],[Review]]="",tblProducts[[#This Row],[Discount]]=""),"Missing Entry",IF(AND(tblProducts[[#This Row],[Discount]]&gt;=40%,tblProducts[[#This Row],[Review]]&lt;15),"High Discount + Low Engagement","Doesn't meet Criteria"))</f>
        <v>Doesn't meet Criteria</v>
      </c>
      <c r="Q63" s="4" t="str">
        <f>IF(OR(tblProducts[[#This Row],[Review]]="",tblProducts[[#This Row],[Rating]]=""),"Missing Entry",IF(AND(tblProducts[[#This Row],[Review]]&gt;=15,tblProducts[[#This Row],[Rating]]&gt;=3,tblProducts[[#This Row],[Rating]]&lt;=4.5),"Many Reviews + Average Rating","Doesn't meet Criteria"))</f>
        <v>Doesn't meet Criteria</v>
      </c>
      <c r="R63" s="4" t="str">
        <f>IF(OR(tblProducts[[#This Row],[Review]]="",tblProducts[[#This Row],[Rating]]=""),"Missing Entry",IF(AND(tblProducts[[#This Row],[Review]]&gt;=15,tblProducts[[#This Row],[Rating]]&gt;4.5),"Strong Engagement + Excellent Rating","Doesn't meet criteria"))</f>
        <v>Doesn't meet criteria</v>
      </c>
    </row>
    <row r="64" spans="1:18" hidden="1" x14ac:dyDescent="0.35">
      <c r="A64" s="4" t="s">
        <v>361</v>
      </c>
      <c r="B64" s="6">
        <v>325</v>
      </c>
      <c r="C64" s="8">
        <v>680</v>
      </c>
      <c r="D64" s="18" t="str">
        <f t="shared" si="7"/>
        <v>OK</v>
      </c>
      <c r="E64" s="21" t="str">
        <f t="shared" si="8"/>
        <v>Low Price</v>
      </c>
      <c r="F64" s="9">
        <f t="shared" si="9"/>
        <v>355</v>
      </c>
      <c r="G64" s="14">
        <v>0.55000000000000004</v>
      </c>
      <c r="H64" s="16" t="str">
        <f t="shared" si="10"/>
        <v>OK</v>
      </c>
      <c r="I64" s="16" t="str">
        <f t="shared" si="11"/>
        <v>High Discount</v>
      </c>
      <c r="J64" s="11">
        <v>15</v>
      </c>
      <c r="K64" s="11" t="str">
        <f>IF(tblProducts[[#This Row],[Review]]="","Missing Entry",IF(tblProducts[[#This Row],[Review]]&gt;=Review_Q3, "Strong  Customer Engagement","Low Customer Engagement"))</f>
        <v>Strong  Customer Engagement</v>
      </c>
      <c r="L64" s="23">
        <v>2.7</v>
      </c>
      <c r="M64" t="str">
        <f t="shared" si="12"/>
        <v>OK</v>
      </c>
      <c r="N64" s="4" t="str">
        <f t="shared" si="13"/>
        <v>Poor</v>
      </c>
      <c r="O64" s="4" t="str">
        <f>IF(OR(tblProducts[[#This Row],[Discount]]="",tblProducts[[#This Row],[Rating]]=""),"Missing Entry",IF(AND(tblProducts[[#This Row],[Discount]]&gt;=40%,tblProducts[[#This Row],[Rating]]&lt;3),"High Discount + Low Rating","Doesn't meet Criteria"))</f>
        <v>High Discount + Low Rating</v>
      </c>
      <c r="P64" s="4" t="str">
        <f>IF(OR(tblProducts[[#This Row],[Review]]="",tblProducts[[#This Row],[Discount]]=""),"Missing Entry",IF(AND(tblProducts[[#This Row],[Discount]]&gt;=40%,tblProducts[[#This Row],[Review]]&lt;15),"High Discount + Low Engagement","Doesn't meet Criteria"))</f>
        <v>Doesn't meet Criteria</v>
      </c>
      <c r="Q64" s="4" t="str">
        <f>IF(OR(tblProducts[[#This Row],[Review]]="",tblProducts[[#This Row],[Rating]]=""),"Missing Entry",IF(AND(tblProducts[[#This Row],[Review]]&gt;=15,tblProducts[[#This Row],[Rating]]&gt;=3,tblProducts[[#This Row],[Rating]]&lt;=4.5),"Many Reviews + Average Rating","Doesn't meet Criteria"))</f>
        <v>Doesn't meet Criteria</v>
      </c>
      <c r="R64" s="4" t="str">
        <f>IF(OR(tblProducts[[#This Row],[Review]]="",tblProducts[[#This Row],[Rating]]=""),"Missing Entry",IF(AND(tblProducts[[#This Row],[Review]]&gt;=15,tblProducts[[#This Row],[Rating]]&gt;4.5),"Strong Engagement + Excellent Rating","Doesn't meet criteria"))</f>
        <v>Doesn't meet criteria</v>
      </c>
    </row>
    <row r="65" spans="1:18" hidden="1" x14ac:dyDescent="0.35">
      <c r="A65" s="4" t="s">
        <v>362</v>
      </c>
      <c r="B65" s="6">
        <v>1220</v>
      </c>
      <c r="C65" s="8">
        <v>1555</v>
      </c>
      <c r="D65" s="18" t="str">
        <f t="shared" si="7"/>
        <v>OK</v>
      </c>
      <c r="E65" s="21" t="str">
        <f t="shared" si="8"/>
        <v>Medium Price</v>
      </c>
      <c r="F65" s="9">
        <f t="shared" si="9"/>
        <v>335</v>
      </c>
      <c r="G65" s="14">
        <v>0.49</v>
      </c>
      <c r="H65" s="16" t="str">
        <f t="shared" si="10"/>
        <v>OK</v>
      </c>
      <c r="I65" s="16" t="str">
        <f t="shared" si="11"/>
        <v>High Discount</v>
      </c>
      <c r="J65" s="11">
        <v>16</v>
      </c>
      <c r="K65" s="11" t="str">
        <f>IF(tblProducts[[#This Row],[Review]]="","Missing Entry",IF(tblProducts[[#This Row],[Review]]&gt;=Review_Q3, "Strong  Customer Engagement","Low Customer Engagement"))</f>
        <v>Strong  Customer Engagement</v>
      </c>
      <c r="L65" s="23">
        <v>2.9</v>
      </c>
      <c r="M65" t="str">
        <f t="shared" si="12"/>
        <v>OK</v>
      </c>
      <c r="N65" s="4" t="str">
        <f t="shared" si="13"/>
        <v>Poor</v>
      </c>
      <c r="O65" s="4" t="str">
        <f>IF(OR(tblProducts[[#This Row],[Discount]]="",tblProducts[[#This Row],[Rating]]=""),"Missing Entry",IF(AND(tblProducts[[#This Row],[Discount]]&gt;=40%,tblProducts[[#This Row],[Rating]]&lt;3),"High Discount + Low Rating","Doesn't meet Criteria"))</f>
        <v>High Discount + Low Rating</v>
      </c>
      <c r="P65" s="4" t="str">
        <f>IF(OR(tblProducts[[#This Row],[Review]]="",tblProducts[[#This Row],[Discount]]=""),"Missing Entry",IF(AND(tblProducts[[#This Row],[Discount]]&gt;=40%,tblProducts[[#This Row],[Review]]&lt;15),"High Discount + Low Engagement","Doesn't meet Criteria"))</f>
        <v>Doesn't meet Criteria</v>
      </c>
      <c r="Q65" s="4" t="str">
        <f>IF(OR(tblProducts[[#This Row],[Review]]="",tblProducts[[#This Row],[Rating]]=""),"Missing Entry",IF(AND(tblProducts[[#This Row],[Review]]&gt;=15,tblProducts[[#This Row],[Rating]]&gt;=3,tblProducts[[#This Row],[Rating]]&lt;=4.5),"Many Reviews + Average Rating","Doesn't meet Criteria"))</f>
        <v>Doesn't meet Criteria</v>
      </c>
      <c r="R65" s="4" t="str">
        <f>IF(OR(tblProducts[[#This Row],[Review]]="",tblProducts[[#This Row],[Rating]]=""),"Missing Entry",IF(AND(tblProducts[[#This Row],[Review]]&gt;=15,tblProducts[[#This Row],[Rating]]&gt;4.5),"Strong Engagement + Excellent Rating","Doesn't meet criteria"))</f>
        <v>Doesn't meet criteria</v>
      </c>
    </row>
    <row r="66" spans="1:18" hidden="1" x14ac:dyDescent="0.35">
      <c r="A66" s="4" t="s">
        <v>206</v>
      </c>
      <c r="B66" s="6">
        <v>990</v>
      </c>
      <c r="C66" s="8">
        <v>1814</v>
      </c>
      <c r="D66" s="18" t="str">
        <f t="shared" ref="D66:D97" si="14">IF(B66&gt;C66,"Check prices","OK")</f>
        <v>OK</v>
      </c>
      <c r="E66" s="21" t="str">
        <f t="shared" ref="E66:E97" si="15">IF(B66="","Missing",IF(B66&gt;Price_Q3,"High Price",IF(B66&gt;Price_Q1,"Medium Price","Low Price")))</f>
        <v>Medium Price</v>
      </c>
      <c r="F66" s="9">
        <f t="shared" ref="F66:F97" si="16">C66-B66</f>
        <v>824</v>
      </c>
      <c r="G66" s="14">
        <v>0.52</v>
      </c>
      <c r="H66" s="16" t="str">
        <f t="shared" ref="H66:H97" si="17">IF(OR(G66&lt;0,G66&gt;1),"Check the discount","OK")</f>
        <v>OK</v>
      </c>
      <c r="I66" s="16" t="str">
        <f t="shared" ref="I66:I97" si="18">IF(G66="","Missing",IF(G66&lt;20%,"Low Discount",IF(G66&lt;=40%,"Medium Discount","High Discount")))</f>
        <v>High Discount</v>
      </c>
      <c r="J66" s="11">
        <v>6</v>
      </c>
      <c r="K66" s="11" t="str">
        <f>IF(tblProducts[[#This Row],[Review]]="","Missing Entry",IF(tblProducts[[#This Row],[Review]]&gt;=Review_Q3, "Strong  Customer Engagement","Low Customer Engagement"))</f>
        <v>Low Customer Engagement</v>
      </c>
      <c r="L66" s="23">
        <v>2.2000000000000002</v>
      </c>
      <c r="M66" t="str">
        <f t="shared" ref="M66:M97" si="19">IF(L66="","Missing Entry",IF(OR(L66&lt;0,L66&gt;5),"Check the rating","OK"))</f>
        <v>OK</v>
      </c>
      <c r="N66" s="4" t="str">
        <f t="shared" ref="N66:N97" si="20">IF(L66="","Missing",IF(L66&lt;3,"Poor",IF(L66&lt;=4.5,"Average","Excellent")))</f>
        <v>Poor</v>
      </c>
      <c r="O66" s="4" t="str">
        <f>IF(OR(tblProducts[[#This Row],[Discount]]="",tblProducts[[#This Row],[Rating]]=""),"Missing Entry",IF(AND(tblProducts[[#This Row],[Discount]]&gt;=40%,tblProducts[[#This Row],[Rating]]&lt;3),"High Discount + Low Rating","Doesn't meet Criteria"))</f>
        <v>High Discount + Low Rating</v>
      </c>
      <c r="P66" s="4" t="str">
        <f>IF(OR(tblProducts[[#This Row],[Review]]="",tblProducts[[#This Row],[Discount]]=""),"Missing Entry",IF(AND(tblProducts[[#This Row],[Discount]]&gt;=40%,tblProducts[[#This Row],[Review]]&lt;15),"High Discount + Low Engagement","Doesn't meet Criteria"))</f>
        <v>High Discount + Low Engagement</v>
      </c>
      <c r="Q66" s="4" t="str">
        <f>IF(OR(tblProducts[[#This Row],[Review]]="",tblProducts[[#This Row],[Rating]]=""),"Missing Entry",IF(AND(tblProducts[[#This Row],[Review]]&gt;=15,tblProducts[[#This Row],[Rating]]&gt;=3,tblProducts[[#This Row],[Rating]]&lt;=4.5),"Many Reviews + Average Rating","Doesn't meet Criteria"))</f>
        <v>Doesn't meet Criteria</v>
      </c>
      <c r="R66" s="4" t="str">
        <f>IF(OR(tblProducts[[#This Row],[Review]]="",tblProducts[[#This Row],[Rating]]=""),"Missing Entry",IF(AND(tblProducts[[#This Row],[Review]]&gt;=15,tblProducts[[#This Row],[Rating]]&gt;4.5),"Strong Engagement + Excellent Rating","Doesn't meet criteria"))</f>
        <v>Doesn't meet criteria</v>
      </c>
    </row>
    <row r="67" spans="1:18" hidden="1" x14ac:dyDescent="0.35">
      <c r="A67" s="4" t="s">
        <v>363</v>
      </c>
      <c r="B67" s="6">
        <v>1000</v>
      </c>
      <c r="C67" s="8">
        <v>2000</v>
      </c>
      <c r="D67" s="18" t="str">
        <f t="shared" si="14"/>
        <v>OK</v>
      </c>
      <c r="E67" s="21" t="str">
        <f t="shared" si="15"/>
        <v>Medium Price</v>
      </c>
      <c r="F67" s="9">
        <f t="shared" si="16"/>
        <v>1000</v>
      </c>
      <c r="G67" s="14">
        <v>0.22</v>
      </c>
      <c r="H67" s="16" t="str">
        <f t="shared" si="17"/>
        <v>OK</v>
      </c>
      <c r="I67" s="16" t="str">
        <f t="shared" si="18"/>
        <v>Medium Discount</v>
      </c>
      <c r="J67" s="11">
        <v>7</v>
      </c>
      <c r="K67" s="11" t="str">
        <f>IF(tblProducts[[#This Row],[Review]]="","Missing Entry",IF(tblProducts[[#This Row],[Review]]&gt;=Review_Q3, "Strong  Customer Engagement","Low Customer Engagement"))</f>
        <v>Low Customer Engagement</v>
      </c>
      <c r="L67" s="23">
        <v>2.2999999999999998</v>
      </c>
      <c r="M67" t="str">
        <f t="shared" si="19"/>
        <v>OK</v>
      </c>
      <c r="N67" s="4" t="str">
        <f t="shared" si="20"/>
        <v>Poor</v>
      </c>
      <c r="O67" s="4" t="str">
        <f>IF(OR(tblProducts[[#This Row],[Discount]]="",tblProducts[[#This Row],[Rating]]=""),"Missing Entry",IF(AND(tblProducts[[#This Row],[Discount]]&gt;=40%,tblProducts[[#This Row],[Rating]]&lt;3),"High Discount + Low Rating","Doesn't meet Criteria"))</f>
        <v>Doesn't meet Criteria</v>
      </c>
      <c r="P67" s="4" t="str">
        <f>IF(OR(tblProducts[[#This Row],[Review]]="",tblProducts[[#This Row],[Discount]]=""),"Missing Entry",IF(AND(tblProducts[[#This Row],[Discount]]&gt;=40%,tblProducts[[#This Row],[Review]]&lt;15),"High Discount + Low Engagement","Doesn't meet Criteria"))</f>
        <v>Doesn't meet Criteria</v>
      </c>
      <c r="Q67" s="4" t="str">
        <f>IF(OR(tblProducts[[#This Row],[Review]]="",tblProducts[[#This Row],[Rating]]=""),"Missing Entry",IF(AND(tblProducts[[#This Row],[Review]]&gt;=15,tblProducts[[#This Row],[Rating]]&gt;=3,tblProducts[[#This Row],[Rating]]&lt;=4.5),"Many Reviews + Average Rating","Doesn't meet Criteria"))</f>
        <v>Doesn't meet Criteria</v>
      </c>
      <c r="R67" s="4" t="str">
        <f>IF(OR(tblProducts[[#This Row],[Review]]="",tblProducts[[#This Row],[Rating]]=""),"Missing Entry",IF(AND(tblProducts[[#This Row],[Review]]&gt;=15,tblProducts[[#This Row],[Rating]]&gt;4.5),"Strong Engagement + Excellent Rating","Doesn't meet criteria"))</f>
        <v>Doesn't meet criteria</v>
      </c>
    </row>
    <row r="68" spans="1:18" hidden="1" x14ac:dyDescent="0.35">
      <c r="A68" s="4" t="s">
        <v>364</v>
      </c>
      <c r="B68" s="6">
        <v>3750</v>
      </c>
      <c r="C68" s="8">
        <v>6143</v>
      </c>
      <c r="D68" s="18" t="str">
        <f t="shared" si="14"/>
        <v>OK</v>
      </c>
      <c r="E68" s="21" t="str">
        <f t="shared" si="15"/>
        <v>High Price</v>
      </c>
      <c r="F68" s="9">
        <f t="shared" si="16"/>
        <v>2393</v>
      </c>
      <c r="G68" s="14">
        <v>0.45</v>
      </c>
      <c r="H68" s="16" t="str">
        <f t="shared" si="17"/>
        <v>OK</v>
      </c>
      <c r="I68" s="16" t="str">
        <f t="shared" si="18"/>
        <v>High Discount</v>
      </c>
      <c r="J68" s="11">
        <v>5</v>
      </c>
      <c r="K68" s="11" t="str">
        <f>IF(tblProducts[[#This Row],[Review]]="","Missing Entry",IF(tblProducts[[#This Row],[Review]]&gt;=Review_Q3, "Strong  Customer Engagement","Low Customer Engagement"))</f>
        <v>Low Customer Engagement</v>
      </c>
      <c r="L68" s="23">
        <v>3</v>
      </c>
      <c r="M68" t="str">
        <f t="shared" si="19"/>
        <v>OK</v>
      </c>
      <c r="N68" s="4" t="str">
        <f t="shared" si="20"/>
        <v>Average</v>
      </c>
      <c r="O68" s="4" t="str">
        <f>IF(OR(tblProducts[[#This Row],[Discount]]="",tblProducts[[#This Row],[Rating]]=""),"Missing Entry",IF(AND(tblProducts[[#This Row],[Discount]]&gt;=40%,tblProducts[[#This Row],[Rating]]&lt;3),"High Discount + Low Rating","Doesn't meet Criteria"))</f>
        <v>Doesn't meet Criteria</v>
      </c>
      <c r="P68" s="4" t="str">
        <f>IF(OR(tblProducts[[#This Row],[Review]]="",tblProducts[[#This Row],[Discount]]=""),"Missing Entry",IF(AND(tblProducts[[#This Row],[Discount]]&gt;=40%,tblProducts[[#This Row],[Review]]&lt;15),"High Discount + Low Engagement","Doesn't meet Criteria"))</f>
        <v>High Discount + Low Engagement</v>
      </c>
      <c r="Q68" s="4" t="str">
        <f>IF(OR(tblProducts[[#This Row],[Review]]="",tblProducts[[#This Row],[Rating]]=""),"Missing Entry",IF(AND(tblProducts[[#This Row],[Review]]&gt;=15,tblProducts[[#This Row],[Rating]]&gt;=3,tblProducts[[#This Row],[Rating]]&lt;=4.5),"Many Reviews + Average Rating","Doesn't meet Criteria"))</f>
        <v>Doesn't meet Criteria</v>
      </c>
      <c r="R68" s="4" t="str">
        <f>IF(OR(tblProducts[[#This Row],[Review]]="",tblProducts[[#This Row],[Rating]]=""),"Missing Entry",IF(AND(tblProducts[[#This Row],[Review]]&gt;=15,tblProducts[[#This Row],[Rating]]&gt;4.5),"Strong Engagement + Excellent Rating","Doesn't meet criteria"))</f>
        <v>Doesn't meet criteria</v>
      </c>
    </row>
    <row r="69" spans="1:18" hidden="1" x14ac:dyDescent="0.35">
      <c r="A69" s="4" t="s">
        <v>215</v>
      </c>
      <c r="B69" s="6">
        <v>382</v>
      </c>
      <c r="C69" s="8">
        <v>700</v>
      </c>
      <c r="D69" s="18" t="str">
        <f t="shared" si="14"/>
        <v>OK</v>
      </c>
      <c r="E69" s="21" t="str">
        <f t="shared" si="15"/>
        <v>Low Price</v>
      </c>
      <c r="F69" s="9">
        <f t="shared" si="16"/>
        <v>318</v>
      </c>
      <c r="G69" s="14">
        <v>0.5</v>
      </c>
      <c r="H69" s="16" t="str">
        <f t="shared" si="17"/>
        <v>OK</v>
      </c>
      <c r="I69" s="16" t="str">
        <f t="shared" si="18"/>
        <v>High Discount</v>
      </c>
      <c r="J69" s="11">
        <v>17</v>
      </c>
      <c r="K69" s="11" t="str">
        <f>IF(tblProducts[[#This Row],[Review]]="","Missing Entry",IF(tblProducts[[#This Row],[Review]]&gt;=Review_Q3, "Strong  Customer Engagement","Low Customer Engagement"))</f>
        <v>Strong  Customer Engagement</v>
      </c>
      <c r="L69" s="23">
        <v>2.6</v>
      </c>
      <c r="M69" t="str">
        <f t="shared" si="19"/>
        <v>OK</v>
      </c>
      <c r="N69" s="4" t="str">
        <f t="shared" si="20"/>
        <v>Poor</v>
      </c>
      <c r="O69" s="4" t="str">
        <f>IF(OR(tblProducts[[#This Row],[Discount]]="",tblProducts[[#This Row],[Rating]]=""),"Missing Entry",IF(AND(tblProducts[[#This Row],[Discount]]&gt;=40%,tblProducts[[#This Row],[Rating]]&lt;3),"High Discount + Low Rating","Doesn't meet Criteria"))</f>
        <v>High Discount + Low Rating</v>
      </c>
      <c r="P69" s="4" t="str">
        <f>IF(OR(tblProducts[[#This Row],[Review]]="",tblProducts[[#This Row],[Discount]]=""),"Missing Entry",IF(AND(tblProducts[[#This Row],[Discount]]&gt;=40%,tblProducts[[#This Row],[Review]]&lt;15),"High Discount + Low Engagement","Doesn't meet Criteria"))</f>
        <v>Doesn't meet Criteria</v>
      </c>
      <c r="Q69" s="4" t="str">
        <f>IF(OR(tblProducts[[#This Row],[Review]]="",tblProducts[[#This Row],[Rating]]=""),"Missing Entry",IF(AND(tblProducts[[#This Row],[Review]]&gt;=15,tblProducts[[#This Row],[Rating]]&gt;=3,tblProducts[[#This Row],[Rating]]&lt;=4.5),"Many Reviews + Average Rating","Doesn't meet Criteria"))</f>
        <v>Doesn't meet Criteria</v>
      </c>
      <c r="R69" s="4" t="str">
        <f>IF(OR(tblProducts[[#This Row],[Review]]="",tblProducts[[#This Row],[Rating]]=""),"Missing Entry",IF(AND(tblProducts[[#This Row],[Review]]&gt;=15,tblProducts[[#This Row],[Rating]]&gt;4.5),"Strong Engagement + Excellent Rating","Doesn't meet criteria"))</f>
        <v>Doesn't meet criteria</v>
      </c>
    </row>
    <row r="70" spans="1:18" hidden="1" x14ac:dyDescent="0.35">
      <c r="A70" s="4" t="s">
        <v>365</v>
      </c>
      <c r="B70" s="6">
        <v>2300</v>
      </c>
      <c r="C70" s="8">
        <v>3240</v>
      </c>
      <c r="D70" s="18" t="str">
        <f t="shared" si="14"/>
        <v>OK</v>
      </c>
      <c r="E70" s="21" t="str">
        <f t="shared" si="15"/>
        <v>High Price</v>
      </c>
      <c r="F70" s="9">
        <f t="shared" si="16"/>
        <v>940</v>
      </c>
      <c r="G70" s="14">
        <v>0.39</v>
      </c>
      <c r="H70" s="16" t="str">
        <f t="shared" si="17"/>
        <v>OK</v>
      </c>
      <c r="I70" s="16" t="str">
        <f t="shared" si="18"/>
        <v>Medium Discount</v>
      </c>
      <c r="J70" s="11">
        <v>5</v>
      </c>
      <c r="K70" s="11" t="str">
        <f>IF(tblProducts[[#This Row],[Review]]="","Missing Entry",IF(tblProducts[[#This Row],[Review]]&gt;=Review_Q3, "Strong  Customer Engagement","Low Customer Engagement"))</f>
        <v>Low Customer Engagement</v>
      </c>
      <c r="L70" s="23">
        <v>3</v>
      </c>
      <c r="M70" t="str">
        <f t="shared" si="19"/>
        <v>OK</v>
      </c>
      <c r="N70" s="4" t="str">
        <f t="shared" si="20"/>
        <v>Average</v>
      </c>
      <c r="O70" s="4" t="str">
        <f>IF(OR(tblProducts[[#This Row],[Discount]]="",tblProducts[[#This Row],[Rating]]=""),"Missing Entry",IF(AND(tblProducts[[#This Row],[Discount]]&gt;=40%,tblProducts[[#This Row],[Rating]]&lt;3),"High Discount + Low Rating","Doesn't meet Criteria"))</f>
        <v>Doesn't meet Criteria</v>
      </c>
      <c r="P70" s="4" t="str">
        <f>IF(OR(tblProducts[[#This Row],[Review]]="",tblProducts[[#This Row],[Discount]]=""),"Missing Entry",IF(AND(tblProducts[[#This Row],[Discount]]&gt;=40%,tblProducts[[#This Row],[Review]]&lt;15),"High Discount + Low Engagement","Doesn't meet Criteria"))</f>
        <v>Doesn't meet Criteria</v>
      </c>
      <c r="Q70" s="4" t="str">
        <f>IF(OR(tblProducts[[#This Row],[Review]]="",tblProducts[[#This Row],[Rating]]=""),"Missing Entry",IF(AND(tblProducts[[#This Row],[Review]]&gt;=15,tblProducts[[#This Row],[Rating]]&gt;=3,tblProducts[[#This Row],[Rating]]&lt;=4.5),"Many Reviews + Average Rating","Doesn't meet Criteria"))</f>
        <v>Doesn't meet Criteria</v>
      </c>
      <c r="R70" s="4" t="str">
        <f>IF(OR(tblProducts[[#This Row],[Review]]="",tblProducts[[#This Row],[Rating]]=""),"Missing Entry",IF(AND(tblProducts[[#This Row],[Review]]&gt;=15,tblProducts[[#This Row],[Rating]]&gt;4.5),"Strong Engagement + Excellent Rating","Doesn't meet criteria"))</f>
        <v>Doesn't meet criteria</v>
      </c>
    </row>
    <row r="71" spans="1:18" hidden="1" x14ac:dyDescent="0.35">
      <c r="A71" s="4" t="s">
        <v>221</v>
      </c>
      <c r="B71" s="6">
        <v>345</v>
      </c>
      <c r="C71" s="8">
        <v>602</v>
      </c>
      <c r="D71" s="18" t="str">
        <f t="shared" si="14"/>
        <v>OK</v>
      </c>
      <c r="E71" s="21" t="str">
        <f t="shared" si="15"/>
        <v>Low Price</v>
      </c>
      <c r="F71" s="9">
        <f t="shared" si="16"/>
        <v>257</v>
      </c>
      <c r="G71" s="14">
        <v>0.45</v>
      </c>
      <c r="H71" s="16" t="str">
        <f t="shared" si="17"/>
        <v>OK</v>
      </c>
      <c r="I71" s="16" t="str">
        <f t="shared" si="18"/>
        <v>High Discount</v>
      </c>
      <c r="J71" s="11">
        <v>6</v>
      </c>
      <c r="K71" s="11" t="str">
        <f>IF(tblProducts[[#This Row],[Review]]="","Missing Entry",IF(tblProducts[[#This Row],[Review]]&gt;=Review_Q3, "Strong  Customer Engagement","Low Customer Engagement"))</f>
        <v>Low Customer Engagement</v>
      </c>
      <c r="L71" s="23">
        <v>2.2999999999999998</v>
      </c>
      <c r="M71" t="str">
        <f t="shared" si="19"/>
        <v>OK</v>
      </c>
      <c r="N71" s="4" t="str">
        <f t="shared" si="20"/>
        <v>Poor</v>
      </c>
      <c r="O71" s="4" t="str">
        <f>IF(OR(tblProducts[[#This Row],[Discount]]="",tblProducts[[#This Row],[Rating]]=""),"Missing Entry",IF(AND(tblProducts[[#This Row],[Discount]]&gt;=40%,tblProducts[[#This Row],[Rating]]&lt;3),"High Discount + Low Rating","Doesn't meet Criteria"))</f>
        <v>High Discount + Low Rating</v>
      </c>
      <c r="P71" s="4" t="str">
        <f>IF(OR(tblProducts[[#This Row],[Review]]="",tblProducts[[#This Row],[Discount]]=""),"Missing Entry",IF(AND(tblProducts[[#This Row],[Discount]]&gt;=40%,tblProducts[[#This Row],[Review]]&lt;15),"High Discount + Low Engagement","Doesn't meet Criteria"))</f>
        <v>High Discount + Low Engagement</v>
      </c>
      <c r="Q71" s="4" t="str">
        <f>IF(OR(tblProducts[[#This Row],[Review]]="",tblProducts[[#This Row],[Rating]]=""),"Missing Entry",IF(AND(tblProducts[[#This Row],[Review]]&gt;=15,tblProducts[[#This Row],[Rating]]&gt;=3,tblProducts[[#This Row],[Rating]]&lt;=4.5),"Many Reviews + Average Rating","Doesn't meet Criteria"))</f>
        <v>Doesn't meet Criteria</v>
      </c>
      <c r="R71" s="4" t="str">
        <f>IF(OR(tblProducts[[#This Row],[Review]]="",tblProducts[[#This Row],[Rating]]=""),"Missing Entry",IF(AND(tblProducts[[#This Row],[Review]]&gt;=15,tblProducts[[#This Row],[Rating]]&gt;4.5),"Strong Engagement + Excellent Rating","Doesn't meet criteria"))</f>
        <v>Doesn't meet criteria</v>
      </c>
    </row>
    <row r="72" spans="1:18" hidden="1" x14ac:dyDescent="0.35">
      <c r="A72" s="4" t="s">
        <v>224</v>
      </c>
      <c r="B72" s="6">
        <v>509</v>
      </c>
      <c r="C72" s="8">
        <v>899</v>
      </c>
      <c r="D72" s="18" t="str">
        <f t="shared" si="14"/>
        <v>OK</v>
      </c>
      <c r="E72" s="21" t="str">
        <f t="shared" si="15"/>
        <v>Medium Price</v>
      </c>
      <c r="F72" s="9">
        <f t="shared" si="16"/>
        <v>390</v>
      </c>
      <c r="G72" s="14">
        <v>0.28999999999999998</v>
      </c>
      <c r="H72" s="16" t="str">
        <f t="shared" si="17"/>
        <v>OK</v>
      </c>
      <c r="I72" s="16" t="str">
        <f t="shared" si="18"/>
        <v>Medium Discount</v>
      </c>
      <c r="J72" s="11">
        <v>5</v>
      </c>
      <c r="K72" s="11" t="str">
        <f>IF(tblProducts[[#This Row],[Review]]="","Missing Entry",IF(tblProducts[[#This Row],[Review]]&gt;=Review_Q3, "Strong  Customer Engagement","Low Customer Engagement"))</f>
        <v>Low Customer Engagement</v>
      </c>
      <c r="L72" s="23">
        <v>3</v>
      </c>
      <c r="M72" t="str">
        <f t="shared" si="19"/>
        <v>OK</v>
      </c>
      <c r="N72" s="4" t="str">
        <f t="shared" si="20"/>
        <v>Average</v>
      </c>
      <c r="O72" s="4" t="str">
        <f>IF(OR(tblProducts[[#This Row],[Discount]]="",tblProducts[[#This Row],[Rating]]=""),"Missing Entry",IF(AND(tblProducts[[#This Row],[Discount]]&gt;=40%,tblProducts[[#This Row],[Rating]]&lt;3),"High Discount + Low Rating","Doesn't meet Criteria"))</f>
        <v>Doesn't meet Criteria</v>
      </c>
      <c r="P72" s="4" t="str">
        <f>IF(OR(tblProducts[[#This Row],[Review]]="",tblProducts[[#This Row],[Discount]]=""),"Missing Entry",IF(AND(tblProducts[[#This Row],[Discount]]&gt;=40%,tblProducts[[#This Row],[Review]]&lt;15),"High Discount + Low Engagement","Doesn't meet Criteria"))</f>
        <v>Doesn't meet Criteria</v>
      </c>
      <c r="Q72" s="4" t="str">
        <f>IF(OR(tblProducts[[#This Row],[Review]]="",tblProducts[[#This Row],[Rating]]=""),"Missing Entry",IF(AND(tblProducts[[#This Row],[Review]]&gt;=15,tblProducts[[#This Row],[Rating]]&gt;=3,tblProducts[[#This Row],[Rating]]&lt;=4.5),"Many Reviews + Average Rating","Doesn't meet Criteria"))</f>
        <v>Doesn't meet Criteria</v>
      </c>
      <c r="R72" s="4" t="str">
        <f>IF(OR(tblProducts[[#This Row],[Review]]="",tblProducts[[#This Row],[Rating]]=""),"Missing Entry",IF(AND(tblProducts[[#This Row],[Review]]&gt;=15,tblProducts[[#This Row],[Rating]]&gt;4.5),"Strong Engagement + Excellent Rating","Doesn't meet criteria"))</f>
        <v>Doesn't meet criteria</v>
      </c>
    </row>
    <row r="73" spans="1:18" hidden="1" x14ac:dyDescent="0.35">
      <c r="A73" s="4" t="s">
        <v>366</v>
      </c>
      <c r="B73" s="6">
        <v>968</v>
      </c>
      <c r="C73" s="8">
        <v>1814</v>
      </c>
      <c r="D73" s="18" t="str">
        <f t="shared" si="14"/>
        <v>OK</v>
      </c>
      <c r="E73" s="21" t="str">
        <f t="shared" si="15"/>
        <v>Medium Price</v>
      </c>
      <c r="F73" s="9">
        <f t="shared" si="16"/>
        <v>846</v>
      </c>
      <c r="G73" s="14">
        <v>0.43</v>
      </c>
      <c r="H73" s="16" t="str">
        <f t="shared" si="17"/>
        <v>OK</v>
      </c>
      <c r="I73" s="16" t="str">
        <f t="shared" si="18"/>
        <v>High Discount</v>
      </c>
      <c r="J73" s="11">
        <v>6</v>
      </c>
      <c r="K73" s="11" t="str">
        <f>IF(tblProducts[[#This Row],[Review]]="","Missing Entry",IF(tblProducts[[#This Row],[Review]]&gt;=Review_Q3, "Strong  Customer Engagement","Low Customer Engagement"))</f>
        <v>Low Customer Engagement</v>
      </c>
      <c r="L73" s="23">
        <v>2.2000000000000002</v>
      </c>
      <c r="M73" t="str">
        <f t="shared" si="19"/>
        <v>OK</v>
      </c>
      <c r="N73" s="4" t="str">
        <f t="shared" si="20"/>
        <v>Poor</v>
      </c>
      <c r="O73" s="4" t="str">
        <f>IF(OR(tblProducts[[#This Row],[Discount]]="",tblProducts[[#This Row],[Rating]]=""),"Missing Entry",IF(AND(tblProducts[[#This Row],[Discount]]&gt;=40%,tblProducts[[#This Row],[Rating]]&lt;3),"High Discount + Low Rating","Doesn't meet Criteria"))</f>
        <v>High Discount + Low Rating</v>
      </c>
      <c r="P73" s="4" t="str">
        <f>IF(OR(tblProducts[[#This Row],[Review]]="",tblProducts[[#This Row],[Discount]]=""),"Missing Entry",IF(AND(tblProducts[[#This Row],[Discount]]&gt;=40%,tblProducts[[#This Row],[Review]]&lt;15),"High Discount + Low Engagement","Doesn't meet Criteria"))</f>
        <v>High Discount + Low Engagement</v>
      </c>
      <c r="Q73" s="4" t="str">
        <f>IF(OR(tblProducts[[#This Row],[Review]]="",tblProducts[[#This Row],[Rating]]=""),"Missing Entry",IF(AND(tblProducts[[#This Row],[Review]]&gt;=15,tblProducts[[#This Row],[Rating]]&gt;=3,tblProducts[[#This Row],[Rating]]&lt;=4.5),"Many Reviews + Average Rating","Doesn't meet Criteria"))</f>
        <v>Doesn't meet Criteria</v>
      </c>
      <c r="R73" s="4" t="str">
        <f>IF(OR(tblProducts[[#This Row],[Review]]="",tblProducts[[#This Row],[Rating]]=""),"Missing Entry",IF(AND(tblProducts[[#This Row],[Review]]&gt;=15,tblProducts[[#This Row],[Rating]]&gt;4.5),"Strong Engagement + Excellent Rating","Doesn't meet criteria"))</f>
        <v>Doesn't meet criteria</v>
      </c>
    </row>
    <row r="74" spans="1:18" hidden="1" x14ac:dyDescent="0.35">
      <c r="A74" s="4" t="s">
        <v>367</v>
      </c>
      <c r="B74" s="6">
        <v>1570</v>
      </c>
      <c r="C74" s="8">
        <v>2988</v>
      </c>
      <c r="D74" s="18" t="str">
        <f t="shared" si="14"/>
        <v>OK</v>
      </c>
      <c r="E74" s="21" t="str">
        <f t="shared" si="15"/>
        <v>Medium Price</v>
      </c>
      <c r="F74" s="9">
        <f t="shared" si="16"/>
        <v>1418</v>
      </c>
      <c r="G74" s="14">
        <v>0.43</v>
      </c>
      <c r="H74" s="16" t="str">
        <f t="shared" si="17"/>
        <v>OK</v>
      </c>
      <c r="I74" s="16" t="str">
        <f t="shared" si="18"/>
        <v>High Discount</v>
      </c>
      <c r="J74" s="11">
        <v>7</v>
      </c>
      <c r="K74" s="11" t="str">
        <f>IF(tblProducts[[#This Row],[Review]]="","Missing Entry",IF(tblProducts[[#This Row],[Review]]&gt;=Review_Q3, "Strong  Customer Engagement","Low Customer Engagement"))</f>
        <v>Low Customer Engagement</v>
      </c>
      <c r="L74" s="23">
        <v>2.1</v>
      </c>
      <c r="M74" t="str">
        <f t="shared" si="19"/>
        <v>OK</v>
      </c>
      <c r="N74" s="4" t="str">
        <f t="shared" si="20"/>
        <v>Poor</v>
      </c>
      <c r="O74" s="4" t="str">
        <f>IF(OR(tblProducts[[#This Row],[Discount]]="",tblProducts[[#This Row],[Rating]]=""),"Missing Entry",IF(AND(tblProducts[[#This Row],[Discount]]&gt;=40%,tblProducts[[#This Row],[Rating]]&lt;3),"High Discount + Low Rating","Doesn't meet Criteria"))</f>
        <v>High Discount + Low Rating</v>
      </c>
      <c r="P74" s="4" t="str">
        <f>IF(OR(tblProducts[[#This Row],[Review]]="",tblProducts[[#This Row],[Discount]]=""),"Missing Entry",IF(AND(tblProducts[[#This Row],[Discount]]&gt;=40%,tblProducts[[#This Row],[Review]]&lt;15),"High Discount + Low Engagement","Doesn't meet Criteria"))</f>
        <v>High Discount + Low Engagement</v>
      </c>
      <c r="Q74" s="4" t="str">
        <f>IF(OR(tblProducts[[#This Row],[Review]]="",tblProducts[[#This Row],[Rating]]=""),"Missing Entry",IF(AND(tblProducts[[#This Row],[Review]]&gt;=15,tblProducts[[#This Row],[Rating]]&gt;=3,tblProducts[[#This Row],[Rating]]&lt;=4.5),"Many Reviews + Average Rating","Doesn't meet Criteria"))</f>
        <v>Doesn't meet Criteria</v>
      </c>
      <c r="R74" s="4" t="str">
        <f>IF(OR(tblProducts[[#This Row],[Review]]="",tblProducts[[#This Row],[Rating]]=""),"Missing Entry",IF(AND(tblProducts[[#This Row],[Review]]&gt;=15,tblProducts[[#This Row],[Rating]]&gt;4.5),"Strong Engagement + Excellent Rating","Doesn't meet criteria"))</f>
        <v>Doesn't meet criteria</v>
      </c>
    </row>
    <row r="75" spans="1:18" x14ac:dyDescent="0.35">
      <c r="A75" s="4" t="s">
        <v>368</v>
      </c>
      <c r="B75" s="6">
        <v>790</v>
      </c>
      <c r="C75" s="8">
        <v>1485</v>
      </c>
      <c r="D75" s="18" t="str">
        <f t="shared" si="14"/>
        <v>OK</v>
      </c>
      <c r="E75" s="21" t="str">
        <f t="shared" si="15"/>
        <v>Medium Price</v>
      </c>
      <c r="F75" s="9">
        <f t="shared" si="16"/>
        <v>695</v>
      </c>
      <c r="G75" s="14">
        <v>0.47</v>
      </c>
      <c r="H75" s="16" t="str">
        <f t="shared" si="17"/>
        <v>OK</v>
      </c>
      <c r="I75" s="16" t="str">
        <f t="shared" si="18"/>
        <v>High Discount</v>
      </c>
      <c r="J75" s="11"/>
      <c r="K75" s="11" t="str">
        <f>IF(tblProducts[[#This Row],[Review]]="","Missing Entry",IF(tblProducts[[#This Row],[Review]]&gt;=Review_Q3, "Strong  Customer Engagement","Low Customer Engagement"))</f>
        <v>Missing Entry</v>
      </c>
      <c r="M75" t="str">
        <f t="shared" si="19"/>
        <v>Missing Entry</v>
      </c>
      <c r="N75" s="4" t="str">
        <f t="shared" si="20"/>
        <v>Missing</v>
      </c>
      <c r="O75" s="4" t="str">
        <f>IF(OR(tblProducts[[#This Row],[Discount]]="",tblProducts[[#This Row],[Rating]]=""),"Missing Entry",IF(AND(tblProducts[[#This Row],[Discount]]&gt;=40%,tblProducts[[#This Row],[Rating]]&lt;3),"High Discount + Low Rating","Doesn't meet Criteria"))</f>
        <v>Missing Entry</v>
      </c>
      <c r="P75" s="4" t="str">
        <f>IF(OR(tblProducts[[#This Row],[Review]]="",tblProducts[[#This Row],[Discount]]=""),"Missing Entry",IF(AND(tblProducts[[#This Row],[Discount]]&gt;=40%,tblProducts[[#This Row],[Review]]&lt;15),"High Discount + Low Engagement","Doesn't meet Criteria"))</f>
        <v>Missing Entry</v>
      </c>
      <c r="Q75" s="4" t="str">
        <f>IF(OR(tblProducts[[#This Row],[Review]]="",tblProducts[[#This Row],[Rating]]=""),"Missing Entry",IF(AND(tblProducts[[#This Row],[Review]]&gt;=15,tblProducts[[#This Row],[Rating]]&gt;=3,tblProducts[[#This Row],[Rating]]&lt;=4.5),"Many Reviews + Average Rating","Doesn't meet Criteria"))</f>
        <v>Missing Entry</v>
      </c>
      <c r="R75" s="4" t="str">
        <f>IF(OR(tblProducts[[#This Row],[Review]]="",tblProducts[[#This Row],[Rating]]=""),"Missing Entry",IF(AND(tblProducts[[#This Row],[Review]]&gt;=15,tblProducts[[#This Row],[Rating]]&gt;4.5),"Strong Engagement + Excellent Rating","Doesn't meet criteria"))</f>
        <v>Missing Entry</v>
      </c>
    </row>
    <row r="76" spans="1:18" x14ac:dyDescent="0.35">
      <c r="A76" s="4" t="s">
        <v>369</v>
      </c>
      <c r="B76" s="6">
        <v>690</v>
      </c>
      <c r="C76" s="8">
        <v>1200</v>
      </c>
      <c r="D76" s="18" t="str">
        <f t="shared" si="14"/>
        <v>OK</v>
      </c>
      <c r="E76" s="21" t="str">
        <f t="shared" si="15"/>
        <v>Medium Price</v>
      </c>
      <c r="F76" s="9">
        <f t="shared" si="16"/>
        <v>510</v>
      </c>
      <c r="G76" s="14">
        <v>0.47</v>
      </c>
      <c r="H76" s="16" t="str">
        <f t="shared" si="17"/>
        <v>OK</v>
      </c>
      <c r="I76" s="16" t="str">
        <f t="shared" si="18"/>
        <v>High Discount</v>
      </c>
      <c r="J76" s="11"/>
      <c r="K76" s="11" t="str">
        <f>IF(tblProducts[[#This Row],[Review]]="","Missing Entry",IF(tblProducts[[#This Row],[Review]]&gt;=Review_Q3, "Strong  Customer Engagement","Low Customer Engagement"))</f>
        <v>Missing Entry</v>
      </c>
      <c r="M76" t="str">
        <f t="shared" si="19"/>
        <v>Missing Entry</v>
      </c>
      <c r="N76" s="4" t="str">
        <f t="shared" si="20"/>
        <v>Missing</v>
      </c>
      <c r="O76" s="4" t="str">
        <f>IF(OR(tblProducts[[#This Row],[Discount]]="",tblProducts[[#This Row],[Rating]]=""),"Missing Entry",IF(AND(tblProducts[[#This Row],[Discount]]&gt;=40%,tblProducts[[#This Row],[Rating]]&lt;3),"High Discount + Low Rating","Doesn't meet Criteria"))</f>
        <v>Missing Entry</v>
      </c>
      <c r="P76" s="4" t="str">
        <f>IF(OR(tblProducts[[#This Row],[Review]]="",tblProducts[[#This Row],[Discount]]=""),"Missing Entry",IF(AND(tblProducts[[#This Row],[Discount]]&gt;=40%,tblProducts[[#This Row],[Review]]&lt;15),"High Discount + Low Engagement","Doesn't meet Criteria"))</f>
        <v>Missing Entry</v>
      </c>
      <c r="Q76" s="4" t="str">
        <f>IF(OR(tblProducts[[#This Row],[Review]]="",tblProducts[[#This Row],[Rating]]=""),"Missing Entry",IF(AND(tblProducts[[#This Row],[Review]]&gt;=15,tblProducts[[#This Row],[Rating]]&gt;=3,tblProducts[[#This Row],[Rating]]&lt;=4.5),"Many Reviews + Average Rating","Doesn't meet Criteria"))</f>
        <v>Missing Entry</v>
      </c>
      <c r="R76" s="4" t="str">
        <f>IF(OR(tblProducts[[#This Row],[Review]]="",tblProducts[[#This Row],[Rating]]=""),"Missing Entry",IF(AND(tblProducts[[#This Row],[Review]]&gt;=15,tblProducts[[#This Row],[Rating]]&gt;4.5),"Strong Engagement + Excellent Rating","Doesn't meet criteria"))</f>
        <v>Missing Entry</v>
      </c>
    </row>
    <row r="77" spans="1:18" x14ac:dyDescent="0.35">
      <c r="A77" s="4" t="s">
        <v>237</v>
      </c>
      <c r="B77" s="6">
        <v>1732</v>
      </c>
      <c r="C77" s="8">
        <v>1799</v>
      </c>
      <c r="D77" s="18" t="str">
        <f t="shared" si="14"/>
        <v>OK</v>
      </c>
      <c r="E77" s="21" t="str">
        <f t="shared" si="15"/>
        <v>High Price</v>
      </c>
      <c r="F77" s="9">
        <f t="shared" si="16"/>
        <v>67</v>
      </c>
      <c r="G77" s="14">
        <v>0.47</v>
      </c>
      <c r="H77" s="16" t="str">
        <f t="shared" si="17"/>
        <v>OK</v>
      </c>
      <c r="I77" s="16" t="str">
        <f t="shared" si="18"/>
        <v>High Discount</v>
      </c>
      <c r="J77" s="11"/>
      <c r="K77" s="11" t="str">
        <f>IF(tblProducts[[#This Row],[Review]]="","Missing Entry",IF(tblProducts[[#This Row],[Review]]&gt;=Review_Q3, "Strong  Customer Engagement","Low Customer Engagement"))</f>
        <v>Missing Entry</v>
      </c>
      <c r="M77" t="str">
        <f t="shared" si="19"/>
        <v>Missing Entry</v>
      </c>
      <c r="N77" s="4" t="str">
        <f t="shared" si="20"/>
        <v>Missing</v>
      </c>
      <c r="O77" s="4" t="str">
        <f>IF(OR(tblProducts[[#This Row],[Discount]]="",tblProducts[[#This Row],[Rating]]=""),"Missing Entry",IF(AND(tblProducts[[#This Row],[Discount]]&gt;=40%,tblProducts[[#This Row],[Rating]]&lt;3),"High Discount + Low Rating","Doesn't meet Criteria"))</f>
        <v>Missing Entry</v>
      </c>
      <c r="P77" s="4" t="str">
        <f>IF(OR(tblProducts[[#This Row],[Review]]="",tblProducts[[#This Row],[Discount]]=""),"Missing Entry",IF(AND(tblProducts[[#This Row],[Discount]]&gt;=40%,tblProducts[[#This Row],[Review]]&lt;15),"High Discount + Low Engagement","Doesn't meet Criteria"))</f>
        <v>Missing Entry</v>
      </c>
      <c r="Q77" s="4" t="str">
        <f>IF(OR(tblProducts[[#This Row],[Review]]="",tblProducts[[#This Row],[Rating]]=""),"Missing Entry",IF(AND(tblProducts[[#This Row],[Review]]&gt;=15,tblProducts[[#This Row],[Rating]]&gt;=3,tblProducts[[#This Row],[Rating]]&lt;=4.5),"Many Reviews + Average Rating","Doesn't meet Criteria"))</f>
        <v>Missing Entry</v>
      </c>
      <c r="R77" s="4" t="str">
        <f>IF(OR(tblProducts[[#This Row],[Review]]="",tblProducts[[#This Row],[Rating]]=""),"Missing Entry",IF(AND(tblProducts[[#This Row],[Review]]&gt;=15,tblProducts[[#This Row],[Rating]]&gt;4.5),"Strong Engagement + Excellent Rating","Doesn't meet criteria"))</f>
        <v>Missing Entry</v>
      </c>
    </row>
    <row r="78" spans="1:18" x14ac:dyDescent="0.35">
      <c r="A78" s="4" t="s">
        <v>370</v>
      </c>
      <c r="B78" s="6">
        <v>230</v>
      </c>
      <c r="C78" s="8">
        <v>450</v>
      </c>
      <c r="D78" s="18" t="str">
        <f t="shared" si="14"/>
        <v>OK</v>
      </c>
      <c r="E78" s="21" t="str">
        <f t="shared" si="15"/>
        <v>Low Price</v>
      </c>
      <c r="F78" s="9">
        <f t="shared" si="16"/>
        <v>220</v>
      </c>
      <c r="G78" s="14">
        <v>0.43</v>
      </c>
      <c r="H78" s="16" t="str">
        <f t="shared" si="17"/>
        <v>OK</v>
      </c>
      <c r="I78" s="16" t="str">
        <f t="shared" si="18"/>
        <v>High Discount</v>
      </c>
      <c r="J78" s="11"/>
      <c r="K78" s="11" t="str">
        <f>IF(tblProducts[[#This Row],[Review]]="","Missing Entry",IF(tblProducts[[#This Row],[Review]]&gt;=Review_Q3, "Strong  Customer Engagement","Low Customer Engagement"))</f>
        <v>Missing Entry</v>
      </c>
      <c r="M78" t="str">
        <f t="shared" si="19"/>
        <v>Missing Entry</v>
      </c>
      <c r="N78" s="4" t="str">
        <f t="shared" si="20"/>
        <v>Missing</v>
      </c>
      <c r="O78" s="4" t="str">
        <f>IF(OR(tblProducts[[#This Row],[Discount]]="",tblProducts[[#This Row],[Rating]]=""),"Missing Entry",IF(AND(tblProducts[[#This Row],[Discount]]&gt;=40%,tblProducts[[#This Row],[Rating]]&lt;3),"High Discount + Low Rating","Doesn't meet Criteria"))</f>
        <v>Missing Entry</v>
      </c>
      <c r="P78" s="4" t="str">
        <f>IF(OR(tblProducts[[#This Row],[Review]]="",tblProducts[[#This Row],[Discount]]=""),"Missing Entry",IF(AND(tblProducts[[#This Row],[Discount]]&gt;=40%,tblProducts[[#This Row],[Review]]&lt;15),"High Discount + Low Engagement","Doesn't meet Criteria"))</f>
        <v>Missing Entry</v>
      </c>
      <c r="Q78" s="4" t="str">
        <f>IF(OR(tblProducts[[#This Row],[Review]]="",tblProducts[[#This Row],[Rating]]=""),"Missing Entry",IF(AND(tblProducts[[#This Row],[Review]]&gt;=15,tblProducts[[#This Row],[Rating]]&gt;=3,tblProducts[[#This Row],[Rating]]&lt;=4.5),"Many Reviews + Average Rating","Doesn't meet Criteria"))</f>
        <v>Missing Entry</v>
      </c>
      <c r="R78" s="4" t="str">
        <f>IF(OR(tblProducts[[#This Row],[Review]]="",tblProducts[[#This Row],[Rating]]=""),"Missing Entry",IF(AND(tblProducts[[#This Row],[Review]]&gt;=15,tblProducts[[#This Row],[Rating]]&gt;4.5),"Strong Engagement + Excellent Rating","Doesn't meet criteria"))</f>
        <v>Missing Entry</v>
      </c>
    </row>
    <row r="79" spans="1:18" hidden="1" x14ac:dyDescent="0.35">
      <c r="A79" s="4" t="s">
        <v>371</v>
      </c>
      <c r="B79" s="6">
        <v>1189</v>
      </c>
      <c r="C79" s="8">
        <v>2199</v>
      </c>
      <c r="D79" s="18" t="str">
        <f t="shared" si="14"/>
        <v>OK</v>
      </c>
      <c r="E79" s="21" t="str">
        <f t="shared" si="15"/>
        <v>Medium Price</v>
      </c>
      <c r="F79" s="9">
        <f t="shared" si="16"/>
        <v>1010</v>
      </c>
      <c r="G79" s="14">
        <v>0.04</v>
      </c>
      <c r="H79" s="16" t="str">
        <f t="shared" si="17"/>
        <v>OK</v>
      </c>
      <c r="I79" s="16" t="str">
        <f t="shared" si="18"/>
        <v>Low Discount</v>
      </c>
      <c r="J79" s="11">
        <v>1</v>
      </c>
      <c r="K79" s="11" t="str">
        <f>IF(tblProducts[[#This Row],[Review]]="","Missing Entry",IF(tblProducts[[#This Row],[Review]]&gt;=Review_Q3, "Strong  Customer Engagement","Low Customer Engagement"))</f>
        <v>Low Customer Engagement</v>
      </c>
      <c r="L79" s="23">
        <v>3</v>
      </c>
      <c r="M79" t="str">
        <f t="shared" si="19"/>
        <v>OK</v>
      </c>
      <c r="N79" s="4" t="str">
        <f t="shared" si="20"/>
        <v>Average</v>
      </c>
      <c r="O79" s="4" t="str">
        <f>IF(OR(tblProducts[[#This Row],[Discount]]="",tblProducts[[#This Row],[Rating]]=""),"Missing Entry",IF(AND(tblProducts[[#This Row],[Discount]]&gt;=40%,tblProducts[[#This Row],[Rating]]&lt;3),"High Discount + Low Rating","Doesn't meet Criteria"))</f>
        <v>Doesn't meet Criteria</v>
      </c>
      <c r="P79" s="4" t="str">
        <f>IF(OR(tblProducts[[#This Row],[Review]]="",tblProducts[[#This Row],[Discount]]=""),"Missing Entry",IF(AND(tblProducts[[#This Row],[Discount]]&gt;=40%,tblProducts[[#This Row],[Review]]&lt;15),"High Discount + Low Engagement","Doesn't meet Criteria"))</f>
        <v>Doesn't meet Criteria</v>
      </c>
      <c r="Q79" s="4" t="str">
        <f>IF(OR(tblProducts[[#This Row],[Review]]="",tblProducts[[#This Row],[Rating]]=""),"Missing Entry",IF(AND(tblProducts[[#This Row],[Review]]&gt;=15,tblProducts[[#This Row],[Rating]]&gt;=3,tblProducts[[#This Row],[Rating]]&lt;=4.5),"Many Reviews + Average Rating","Doesn't meet Criteria"))</f>
        <v>Doesn't meet Criteria</v>
      </c>
      <c r="R79" s="4" t="str">
        <f>IF(OR(tblProducts[[#This Row],[Review]]="",tblProducts[[#This Row],[Rating]]=""),"Missing Entry",IF(AND(tblProducts[[#This Row],[Review]]&gt;=15,tblProducts[[#This Row],[Rating]]&gt;4.5),"Strong Engagement + Excellent Rating","Doesn't meet criteria"))</f>
        <v>Doesn't meet criteria</v>
      </c>
    </row>
    <row r="80" spans="1:18" hidden="1" x14ac:dyDescent="0.35">
      <c r="A80" s="4" t="s">
        <v>245</v>
      </c>
      <c r="B80" s="6">
        <v>979</v>
      </c>
      <c r="C80" s="8">
        <v>1920</v>
      </c>
      <c r="D80" s="18" t="str">
        <f t="shared" si="14"/>
        <v>OK</v>
      </c>
      <c r="E80" s="21" t="str">
        <f t="shared" si="15"/>
        <v>Medium Price</v>
      </c>
      <c r="F80" s="9">
        <f t="shared" si="16"/>
        <v>941</v>
      </c>
      <c r="G80" s="14">
        <v>0.49</v>
      </c>
      <c r="H80" s="16" t="str">
        <f t="shared" si="17"/>
        <v>OK</v>
      </c>
      <c r="I80" s="16" t="str">
        <f t="shared" si="18"/>
        <v>High Discount</v>
      </c>
      <c r="J80" s="11">
        <v>1</v>
      </c>
      <c r="K80" s="11" t="str">
        <f>IF(tblProducts[[#This Row],[Review]]="","Missing Entry",IF(tblProducts[[#This Row],[Review]]&gt;=Review_Q3, "Strong  Customer Engagement","Low Customer Engagement"))</f>
        <v>Low Customer Engagement</v>
      </c>
      <c r="L80" s="23">
        <v>5</v>
      </c>
      <c r="M80" t="str">
        <f t="shared" si="19"/>
        <v>OK</v>
      </c>
      <c r="N80" s="4" t="str">
        <f t="shared" si="20"/>
        <v>Excellent</v>
      </c>
      <c r="O80" s="4" t="str">
        <f>IF(OR(tblProducts[[#This Row],[Discount]]="",tblProducts[[#This Row],[Rating]]=""),"Missing Entry",IF(AND(tblProducts[[#This Row],[Discount]]&gt;=40%,tblProducts[[#This Row],[Rating]]&lt;3),"High Discount + Low Rating","Doesn't meet Criteria"))</f>
        <v>Doesn't meet Criteria</v>
      </c>
      <c r="P80" s="4" t="str">
        <f>IF(OR(tblProducts[[#This Row],[Review]]="",tblProducts[[#This Row],[Discount]]=""),"Missing Entry",IF(AND(tblProducts[[#This Row],[Discount]]&gt;=40%,tblProducts[[#This Row],[Review]]&lt;15),"High Discount + Low Engagement","Doesn't meet Criteria"))</f>
        <v>High Discount + Low Engagement</v>
      </c>
      <c r="Q80" s="4" t="str">
        <f>IF(OR(tblProducts[[#This Row],[Review]]="",tblProducts[[#This Row],[Rating]]=""),"Missing Entry",IF(AND(tblProducts[[#This Row],[Review]]&gt;=15,tblProducts[[#This Row],[Rating]]&gt;=3,tblProducts[[#This Row],[Rating]]&lt;=4.5),"Many Reviews + Average Rating","Doesn't meet Criteria"))</f>
        <v>Doesn't meet Criteria</v>
      </c>
      <c r="R80" s="4" t="str">
        <f>IF(OR(tblProducts[[#This Row],[Review]]="",tblProducts[[#This Row],[Rating]]=""),"Missing Entry",IF(AND(tblProducts[[#This Row],[Review]]&gt;=15,tblProducts[[#This Row],[Rating]]&gt;4.5),"Strong Engagement + Excellent Rating","Doesn't meet criteria"))</f>
        <v>Doesn't meet criteria</v>
      </c>
    </row>
    <row r="81" spans="1:18" x14ac:dyDescent="0.35">
      <c r="A81" s="4" t="s">
        <v>372</v>
      </c>
      <c r="B81" s="6">
        <v>1460</v>
      </c>
      <c r="C81" s="8">
        <v>2290</v>
      </c>
      <c r="D81" s="18" t="str">
        <f t="shared" si="14"/>
        <v>OK</v>
      </c>
      <c r="E81" s="21" t="str">
        <f t="shared" si="15"/>
        <v>Medium Price</v>
      </c>
      <c r="F81" s="9">
        <f t="shared" si="16"/>
        <v>830</v>
      </c>
      <c r="G81" s="14">
        <v>0.46</v>
      </c>
      <c r="H81" s="16" t="str">
        <f t="shared" si="17"/>
        <v>OK</v>
      </c>
      <c r="I81" s="16" t="str">
        <f t="shared" si="18"/>
        <v>High Discount</v>
      </c>
      <c r="J81" s="11"/>
      <c r="K81" s="11" t="str">
        <f>IF(tblProducts[[#This Row],[Review]]="","Missing Entry",IF(tblProducts[[#This Row],[Review]]&gt;=Review_Q3, "Strong  Customer Engagement","Low Customer Engagement"))</f>
        <v>Missing Entry</v>
      </c>
      <c r="M81" t="str">
        <f t="shared" si="19"/>
        <v>Missing Entry</v>
      </c>
      <c r="N81" s="4" t="str">
        <f t="shared" si="20"/>
        <v>Missing</v>
      </c>
      <c r="O81" s="4" t="str">
        <f>IF(OR(tblProducts[[#This Row],[Discount]]="",tblProducts[[#This Row],[Rating]]=""),"Missing Entry",IF(AND(tblProducts[[#This Row],[Discount]]&gt;=40%,tblProducts[[#This Row],[Rating]]&lt;3),"High Discount + Low Rating","Doesn't meet Criteria"))</f>
        <v>Missing Entry</v>
      </c>
      <c r="P81" s="4" t="str">
        <f>IF(OR(tblProducts[[#This Row],[Review]]="",tblProducts[[#This Row],[Discount]]=""),"Missing Entry",IF(AND(tblProducts[[#This Row],[Discount]]&gt;=40%,tblProducts[[#This Row],[Review]]&lt;15),"High Discount + Low Engagement","Doesn't meet Criteria"))</f>
        <v>Missing Entry</v>
      </c>
      <c r="Q81" s="4" t="str">
        <f>IF(OR(tblProducts[[#This Row],[Review]]="",tblProducts[[#This Row],[Rating]]=""),"Missing Entry",IF(AND(tblProducts[[#This Row],[Review]]&gt;=15,tblProducts[[#This Row],[Rating]]&gt;=3,tblProducts[[#This Row],[Rating]]&lt;=4.5),"Many Reviews + Average Rating","Doesn't meet Criteria"))</f>
        <v>Missing Entry</v>
      </c>
      <c r="R81" s="4" t="str">
        <f>IF(OR(tblProducts[[#This Row],[Review]]="",tblProducts[[#This Row],[Rating]]=""),"Missing Entry",IF(AND(tblProducts[[#This Row],[Review]]&gt;=15,tblProducts[[#This Row],[Rating]]&gt;4.5),"Strong Engagement + Excellent Rating","Doesn't meet criteria"))</f>
        <v>Missing Entry</v>
      </c>
    </row>
    <row r="82" spans="1:18" x14ac:dyDescent="0.35">
      <c r="A82" s="4" t="s">
        <v>373</v>
      </c>
      <c r="B82" s="6">
        <v>1666</v>
      </c>
      <c r="C82" s="8">
        <v>1699</v>
      </c>
      <c r="D82" s="18" t="str">
        <f t="shared" si="14"/>
        <v>OK</v>
      </c>
      <c r="E82" s="21" t="str">
        <f t="shared" si="15"/>
        <v>Medium Price</v>
      </c>
      <c r="F82" s="9">
        <f t="shared" si="16"/>
        <v>33</v>
      </c>
      <c r="G82" s="14">
        <v>0.49</v>
      </c>
      <c r="H82" s="16" t="str">
        <f t="shared" si="17"/>
        <v>OK</v>
      </c>
      <c r="I82" s="16" t="str">
        <f t="shared" si="18"/>
        <v>High Discount</v>
      </c>
      <c r="J82" s="11"/>
      <c r="K82" s="11" t="str">
        <f>IF(tblProducts[[#This Row],[Review]]="","Missing Entry",IF(tblProducts[[#This Row],[Review]]&gt;=Review_Q3, "Strong  Customer Engagement","Low Customer Engagement"))</f>
        <v>Missing Entry</v>
      </c>
      <c r="M82" t="str">
        <f t="shared" si="19"/>
        <v>Missing Entry</v>
      </c>
      <c r="N82" s="4" t="str">
        <f t="shared" si="20"/>
        <v>Missing</v>
      </c>
      <c r="O82" s="4" t="str">
        <f>IF(OR(tblProducts[[#This Row],[Discount]]="",tblProducts[[#This Row],[Rating]]=""),"Missing Entry",IF(AND(tblProducts[[#This Row],[Discount]]&gt;=40%,tblProducts[[#This Row],[Rating]]&lt;3),"High Discount + Low Rating","Doesn't meet Criteria"))</f>
        <v>Missing Entry</v>
      </c>
      <c r="P82" s="4" t="str">
        <f>IF(OR(tblProducts[[#This Row],[Review]]="",tblProducts[[#This Row],[Discount]]=""),"Missing Entry",IF(AND(tblProducts[[#This Row],[Discount]]&gt;=40%,tblProducts[[#This Row],[Review]]&lt;15),"High Discount + Low Engagement","Doesn't meet Criteria"))</f>
        <v>Missing Entry</v>
      </c>
      <c r="Q82" s="4" t="str">
        <f>IF(OR(tblProducts[[#This Row],[Review]]="",tblProducts[[#This Row],[Rating]]=""),"Missing Entry",IF(AND(tblProducts[[#This Row],[Review]]&gt;=15,tblProducts[[#This Row],[Rating]]&gt;=3,tblProducts[[#This Row],[Rating]]&lt;=4.5),"Many Reviews + Average Rating","Doesn't meet Criteria"))</f>
        <v>Missing Entry</v>
      </c>
      <c r="R82" s="4" t="str">
        <f>IF(OR(tblProducts[[#This Row],[Review]]="",tblProducts[[#This Row],[Rating]]=""),"Missing Entry",IF(AND(tblProducts[[#This Row],[Review]]&gt;=15,tblProducts[[#This Row],[Rating]]&gt;4.5),"Strong Engagement + Excellent Rating","Doesn't meet criteria"))</f>
        <v>Missing Entry</v>
      </c>
    </row>
    <row r="83" spans="1:18" hidden="1" x14ac:dyDescent="0.35">
      <c r="A83" s="4" t="s">
        <v>253</v>
      </c>
      <c r="B83" s="6">
        <v>330</v>
      </c>
      <c r="C83" s="8">
        <v>647</v>
      </c>
      <c r="D83" s="18" t="str">
        <f t="shared" si="14"/>
        <v>OK</v>
      </c>
      <c r="E83" s="21" t="str">
        <f t="shared" si="15"/>
        <v>Low Price</v>
      </c>
      <c r="F83" s="9">
        <f t="shared" si="16"/>
        <v>317</v>
      </c>
      <c r="G83" s="14">
        <v>0.36</v>
      </c>
      <c r="H83" s="16" t="str">
        <f t="shared" si="17"/>
        <v>OK</v>
      </c>
      <c r="I83" s="16" t="str">
        <f t="shared" si="18"/>
        <v>Medium Discount</v>
      </c>
      <c r="J83" s="11">
        <v>1</v>
      </c>
      <c r="K83" s="11" t="str">
        <f>IF(tblProducts[[#This Row],[Review]]="","Missing Entry",IF(tblProducts[[#This Row],[Review]]&gt;=Review_Q3, "Strong  Customer Engagement","Low Customer Engagement"))</f>
        <v>Low Customer Engagement</v>
      </c>
      <c r="L83" s="23">
        <v>4</v>
      </c>
      <c r="M83" t="str">
        <f t="shared" si="19"/>
        <v>OK</v>
      </c>
      <c r="N83" s="4" t="str">
        <f t="shared" si="20"/>
        <v>Average</v>
      </c>
      <c r="O83" s="4" t="str">
        <f>IF(OR(tblProducts[[#This Row],[Discount]]="",tblProducts[[#This Row],[Rating]]=""),"Missing Entry",IF(AND(tblProducts[[#This Row],[Discount]]&gt;=40%,tblProducts[[#This Row],[Rating]]&lt;3),"High Discount + Low Rating","Doesn't meet Criteria"))</f>
        <v>Doesn't meet Criteria</v>
      </c>
      <c r="P83" s="4" t="str">
        <f>IF(OR(tblProducts[[#This Row],[Review]]="",tblProducts[[#This Row],[Discount]]=""),"Missing Entry",IF(AND(tblProducts[[#This Row],[Discount]]&gt;=40%,tblProducts[[#This Row],[Review]]&lt;15),"High Discount + Low Engagement","Doesn't meet Criteria"))</f>
        <v>Doesn't meet Criteria</v>
      </c>
      <c r="Q83" s="4" t="str">
        <f>IF(OR(tblProducts[[#This Row],[Review]]="",tblProducts[[#This Row],[Rating]]=""),"Missing Entry",IF(AND(tblProducts[[#This Row],[Review]]&gt;=15,tblProducts[[#This Row],[Rating]]&gt;=3,tblProducts[[#This Row],[Rating]]&lt;=4.5),"Many Reviews + Average Rating","Doesn't meet Criteria"))</f>
        <v>Doesn't meet Criteria</v>
      </c>
      <c r="R83" s="4" t="str">
        <f>IF(OR(tblProducts[[#This Row],[Review]]="",tblProducts[[#This Row],[Rating]]=""),"Missing Entry",IF(AND(tblProducts[[#This Row],[Review]]&gt;=15,tblProducts[[#This Row],[Rating]]&gt;4.5),"Strong Engagement + Excellent Rating","Doesn't meet criteria"))</f>
        <v>Doesn't meet criteria</v>
      </c>
    </row>
    <row r="84" spans="1:18" x14ac:dyDescent="0.35">
      <c r="A84" s="4" t="s">
        <v>374</v>
      </c>
      <c r="B84" s="6">
        <v>610</v>
      </c>
      <c r="C84" s="8">
        <v>1060</v>
      </c>
      <c r="D84" s="18" t="str">
        <f t="shared" si="14"/>
        <v>OK</v>
      </c>
      <c r="E84" s="21" t="str">
        <f t="shared" si="15"/>
        <v>Medium Price</v>
      </c>
      <c r="F84" s="9">
        <f t="shared" si="16"/>
        <v>450</v>
      </c>
      <c r="G84" s="14">
        <v>0.02</v>
      </c>
      <c r="H84" s="16" t="str">
        <f t="shared" si="17"/>
        <v>OK</v>
      </c>
      <c r="I84" s="16" t="str">
        <f t="shared" si="18"/>
        <v>Low Discount</v>
      </c>
      <c r="J84" s="11"/>
      <c r="K84" s="11" t="str">
        <f>IF(tblProducts[[#This Row],[Review]]="","Missing Entry",IF(tblProducts[[#This Row],[Review]]&gt;=Review_Q3, "Strong  Customer Engagement","Low Customer Engagement"))</f>
        <v>Missing Entry</v>
      </c>
      <c r="M84" t="str">
        <f t="shared" si="19"/>
        <v>Missing Entry</v>
      </c>
      <c r="N84" s="4" t="str">
        <f t="shared" si="20"/>
        <v>Missing</v>
      </c>
      <c r="O84" s="4" t="str">
        <f>IF(OR(tblProducts[[#This Row],[Discount]]="",tblProducts[[#This Row],[Rating]]=""),"Missing Entry",IF(AND(tblProducts[[#This Row],[Discount]]&gt;=40%,tblProducts[[#This Row],[Rating]]&lt;3),"High Discount + Low Rating","Doesn't meet Criteria"))</f>
        <v>Missing Entry</v>
      </c>
      <c r="P84" s="4" t="str">
        <f>IF(OR(tblProducts[[#This Row],[Review]]="",tblProducts[[#This Row],[Discount]]=""),"Missing Entry",IF(AND(tblProducts[[#This Row],[Discount]]&gt;=40%,tblProducts[[#This Row],[Review]]&lt;15),"High Discount + Low Engagement","Doesn't meet Criteria"))</f>
        <v>Missing Entry</v>
      </c>
      <c r="Q84" s="4" t="str">
        <f>IF(OR(tblProducts[[#This Row],[Review]]="",tblProducts[[#This Row],[Rating]]=""),"Missing Entry",IF(AND(tblProducts[[#This Row],[Review]]&gt;=15,tblProducts[[#This Row],[Rating]]&gt;=3,tblProducts[[#This Row],[Rating]]&lt;=4.5),"Many Reviews + Average Rating","Doesn't meet Criteria"))</f>
        <v>Missing Entry</v>
      </c>
      <c r="R84" s="4" t="str">
        <f>IF(OR(tblProducts[[#This Row],[Review]]="",tblProducts[[#This Row],[Rating]]=""),"Missing Entry",IF(AND(tblProducts[[#This Row],[Review]]&gt;=15,tblProducts[[#This Row],[Rating]]&gt;4.5),"Strong Engagement + Excellent Rating","Doesn't meet criteria"))</f>
        <v>Missing Entry</v>
      </c>
    </row>
    <row r="85" spans="1:18" x14ac:dyDescent="0.35">
      <c r="A85" s="4" t="s">
        <v>154</v>
      </c>
      <c r="B85" s="6">
        <v>176</v>
      </c>
      <c r="C85" s="8">
        <v>345</v>
      </c>
      <c r="D85" s="18" t="str">
        <f t="shared" si="14"/>
        <v>OK</v>
      </c>
      <c r="E85" s="21" t="str">
        <f t="shared" si="15"/>
        <v>Low Price</v>
      </c>
      <c r="F85" s="9">
        <f t="shared" si="16"/>
        <v>169</v>
      </c>
      <c r="G85" s="14">
        <v>0.49</v>
      </c>
      <c r="H85" s="16" t="str">
        <f t="shared" si="17"/>
        <v>OK</v>
      </c>
      <c r="I85" s="16" t="str">
        <f t="shared" si="18"/>
        <v>High Discount</v>
      </c>
      <c r="J85" s="11"/>
      <c r="K85" s="11" t="str">
        <f>IF(tblProducts[[#This Row],[Review]]="","Missing Entry",IF(tblProducts[[#This Row],[Review]]&gt;=Review_Q3, "Strong  Customer Engagement","Low Customer Engagement"))</f>
        <v>Missing Entry</v>
      </c>
      <c r="M85" t="str">
        <f t="shared" si="19"/>
        <v>Missing Entry</v>
      </c>
      <c r="N85" s="4" t="str">
        <f t="shared" si="20"/>
        <v>Missing</v>
      </c>
      <c r="O85" s="4" t="str">
        <f>IF(OR(tblProducts[[#This Row],[Discount]]="",tblProducts[[#This Row],[Rating]]=""),"Missing Entry",IF(AND(tblProducts[[#This Row],[Discount]]&gt;=40%,tblProducts[[#This Row],[Rating]]&lt;3),"High Discount + Low Rating","Doesn't meet Criteria"))</f>
        <v>Missing Entry</v>
      </c>
      <c r="P85" s="4" t="str">
        <f>IF(OR(tblProducts[[#This Row],[Review]]="",tblProducts[[#This Row],[Discount]]=""),"Missing Entry",IF(AND(tblProducts[[#This Row],[Discount]]&gt;=40%,tblProducts[[#This Row],[Review]]&lt;15),"High Discount + Low Engagement","Doesn't meet Criteria"))</f>
        <v>Missing Entry</v>
      </c>
      <c r="Q85" s="4" t="str">
        <f>IF(OR(tblProducts[[#This Row],[Review]]="",tblProducts[[#This Row],[Rating]]=""),"Missing Entry",IF(AND(tblProducts[[#This Row],[Review]]&gt;=15,tblProducts[[#This Row],[Rating]]&gt;=3,tblProducts[[#This Row],[Rating]]&lt;=4.5),"Many Reviews + Average Rating","Doesn't meet Criteria"))</f>
        <v>Missing Entry</v>
      </c>
      <c r="R85" s="4" t="str">
        <f>IF(OR(tblProducts[[#This Row],[Review]]="",tblProducts[[#This Row],[Rating]]=""),"Missing Entry",IF(AND(tblProducts[[#This Row],[Review]]&gt;=15,tblProducts[[#This Row],[Rating]]&gt;4.5),"Strong Engagement + Excellent Rating","Doesn't meet criteria"))</f>
        <v>Missing Entry</v>
      </c>
    </row>
    <row r="86" spans="1:18" x14ac:dyDescent="0.35">
      <c r="A86" s="4" t="s">
        <v>256</v>
      </c>
      <c r="B86" s="6">
        <v>1466</v>
      </c>
      <c r="C86" s="8">
        <v>1699</v>
      </c>
      <c r="D86" s="18" t="str">
        <f t="shared" si="14"/>
        <v>OK</v>
      </c>
      <c r="E86" s="21" t="str">
        <f t="shared" si="15"/>
        <v>Medium Price</v>
      </c>
      <c r="F86" s="9">
        <f t="shared" si="16"/>
        <v>233</v>
      </c>
      <c r="G86" s="14">
        <v>0.42</v>
      </c>
      <c r="H86" s="16" t="str">
        <f t="shared" si="17"/>
        <v>OK</v>
      </c>
      <c r="I86" s="16" t="str">
        <f t="shared" si="18"/>
        <v>High Discount</v>
      </c>
      <c r="J86" s="11"/>
      <c r="K86" s="11" t="str">
        <f>IF(tblProducts[[#This Row],[Review]]="","Missing Entry",IF(tblProducts[[#This Row],[Review]]&gt;=Review_Q3, "Strong  Customer Engagement","Low Customer Engagement"))</f>
        <v>Missing Entry</v>
      </c>
      <c r="M86" t="str">
        <f t="shared" si="19"/>
        <v>Missing Entry</v>
      </c>
      <c r="N86" s="4" t="str">
        <f t="shared" si="20"/>
        <v>Missing</v>
      </c>
      <c r="O86" s="4" t="str">
        <f>IF(OR(tblProducts[[#This Row],[Discount]]="",tblProducts[[#This Row],[Rating]]=""),"Missing Entry",IF(AND(tblProducts[[#This Row],[Discount]]&gt;=40%,tblProducts[[#This Row],[Rating]]&lt;3),"High Discount + Low Rating","Doesn't meet Criteria"))</f>
        <v>Missing Entry</v>
      </c>
      <c r="P86" s="4" t="str">
        <f>IF(OR(tblProducts[[#This Row],[Review]]="",tblProducts[[#This Row],[Discount]]=""),"Missing Entry",IF(AND(tblProducts[[#This Row],[Discount]]&gt;=40%,tblProducts[[#This Row],[Review]]&lt;15),"High Discount + Low Engagement","Doesn't meet Criteria"))</f>
        <v>Missing Entry</v>
      </c>
      <c r="Q86" s="4" t="str">
        <f>IF(OR(tblProducts[[#This Row],[Review]]="",tblProducts[[#This Row],[Rating]]=""),"Missing Entry",IF(AND(tblProducts[[#This Row],[Review]]&gt;=15,tblProducts[[#This Row],[Rating]]&gt;=3,tblProducts[[#This Row],[Rating]]&lt;=4.5),"Many Reviews + Average Rating","Doesn't meet Criteria"))</f>
        <v>Missing Entry</v>
      </c>
      <c r="R86" s="4" t="str">
        <f>IF(OR(tblProducts[[#This Row],[Review]]="",tblProducts[[#This Row],[Rating]]=""),"Missing Entry",IF(AND(tblProducts[[#This Row],[Review]]&gt;=15,tblProducts[[#This Row],[Rating]]&gt;4.5),"Strong Engagement + Excellent Rating","Doesn't meet criteria"))</f>
        <v>Missing Entry</v>
      </c>
    </row>
    <row r="87" spans="1:18" x14ac:dyDescent="0.35">
      <c r="A87" s="4" t="s">
        <v>258</v>
      </c>
      <c r="B87" s="6">
        <v>274</v>
      </c>
      <c r="C87" s="8">
        <v>537</v>
      </c>
      <c r="D87" s="18" t="str">
        <f t="shared" si="14"/>
        <v>OK</v>
      </c>
      <c r="E87" s="21" t="str">
        <f t="shared" si="15"/>
        <v>Low Price</v>
      </c>
      <c r="F87" s="9">
        <f t="shared" si="16"/>
        <v>263</v>
      </c>
      <c r="G87" s="14">
        <v>0.49</v>
      </c>
      <c r="H87" s="16" t="str">
        <f t="shared" si="17"/>
        <v>OK</v>
      </c>
      <c r="I87" s="16" t="str">
        <f t="shared" si="18"/>
        <v>High Discount</v>
      </c>
      <c r="J87" s="11"/>
      <c r="K87" s="11" t="str">
        <f>IF(tblProducts[[#This Row],[Review]]="","Missing Entry",IF(tblProducts[[#This Row],[Review]]&gt;=Review_Q3, "Strong  Customer Engagement","Low Customer Engagement"))</f>
        <v>Missing Entry</v>
      </c>
      <c r="M87" t="str">
        <f t="shared" si="19"/>
        <v>Missing Entry</v>
      </c>
      <c r="N87" s="4" t="str">
        <f t="shared" si="20"/>
        <v>Missing</v>
      </c>
      <c r="O87" s="4" t="str">
        <f>IF(OR(tblProducts[[#This Row],[Discount]]="",tblProducts[[#This Row],[Rating]]=""),"Missing Entry",IF(AND(tblProducts[[#This Row],[Discount]]&gt;=40%,tblProducts[[#This Row],[Rating]]&lt;3),"High Discount + Low Rating","Doesn't meet Criteria"))</f>
        <v>Missing Entry</v>
      </c>
      <c r="P87" s="4" t="str">
        <f>IF(OR(tblProducts[[#This Row],[Review]]="",tblProducts[[#This Row],[Discount]]=""),"Missing Entry",IF(AND(tblProducts[[#This Row],[Discount]]&gt;=40%,tblProducts[[#This Row],[Review]]&lt;15),"High Discount + Low Engagement","Doesn't meet Criteria"))</f>
        <v>Missing Entry</v>
      </c>
      <c r="Q87" s="4" t="str">
        <f>IF(OR(tblProducts[[#This Row],[Review]]="",tblProducts[[#This Row],[Rating]]=""),"Missing Entry",IF(AND(tblProducts[[#This Row],[Review]]&gt;=15,tblProducts[[#This Row],[Rating]]&gt;=3,tblProducts[[#This Row],[Rating]]&lt;=4.5),"Many Reviews + Average Rating","Doesn't meet Criteria"))</f>
        <v>Missing Entry</v>
      </c>
      <c r="R87" s="4" t="str">
        <f>IF(OR(tblProducts[[#This Row],[Review]]="",tblProducts[[#This Row],[Rating]]=""),"Missing Entry",IF(AND(tblProducts[[#This Row],[Review]]&gt;=15,tblProducts[[#This Row],[Rating]]&gt;4.5),"Strong Engagement + Excellent Rating","Doesn't meet criteria"))</f>
        <v>Missing Entry</v>
      </c>
    </row>
    <row r="88" spans="1:18" x14ac:dyDescent="0.35">
      <c r="A88" s="4" t="s">
        <v>375</v>
      </c>
      <c r="B88" s="6">
        <v>799</v>
      </c>
      <c r="C88" s="8">
        <v>900</v>
      </c>
      <c r="D88" s="18" t="str">
        <f t="shared" si="14"/>
        <v>OK</v>
      </c>
      <c r="E88" s="21" t="str">
        <f t="shared" si="15"/>
        <v>Medium Price</v>
      </c>
      <c r="F88" s="9">
        <f t="shared" si="16"/>
        <v>101</v>
      </c>
      <c r="G88" s="14">
        <v>0.14000000000000001</v>
      </c>
      <c r="H88" s="16" t="str">
        <f t="shared" si="17"/>
        <v>OK</v>
      </c>
      <c r="I88" s="16" t="str">
        <f t="shared" si="18"/>
        <v>Low Discount</v>
      </c>
      <c r="J88" s="11"/>
      <c r="K88" s="11" t="str">
        <f>IF(tblProducts[[#This Row],[Review]]="","Missing Entry",IF(tblProducts[[#This Row],[Review]]&gt;=Review_Q3, "Strong  Customer Engagement","Low Customer Engagement"))</f>
        <v>Missing Entry</v>
      </c>
      <c r="M88" t="str">
        <f t="shared" si="19"/>
        <v>Missing Entry</v>
      </c>
      <c r="N88" s="4" t="str">
        <f t="shared" si="20"/>
        <v>Missing</v>
      </c>
      <c r="O88" s="4" t="str">
        <f>IF(OR(tblProducts[[#This Row],[Discount]]="",tblProducts[[#This Row],[Rating]]=""),"Missing Entry",IF(AND(tblProducts[[#This Row],[Discount]]&gt;=40%,tblProducts[[#This Row],[Rating]]&lt;3),"High Discount + Low Rating","Doesn't meet Criteria"))</f>
        <v>Missing Entry</v>
      </c>
      <c r="P88" s="4" t="str">
        <f>IF(OR(tblProducts[[#This Row],[Review]]="",tblProducts[[#This Row],[Discount]]=""),"Missing Entry",IF(AND(tblProducts[[#This Row],[Discount]]&gt;=40%,tblProducts[[#This Row],[Review]]&lt;15),"High Discount + Low Engagement","Doesn't meet Criteria"))</f>
        <v>Missing Entry</v>
      </c>
      <c r="Q88" s="4" t="str">
        <f>IF(OR(tblProducts[[#This Row],[Review]]="",tblProducts[[#This Row],[Rating]]=""),"Missing Entry",IF(AND(tblProducts[[#This Row],[Review]]&gt;=15,tblProducts[[#This Row],[Rating]]&gt;=3,tblProducts[[#This Row],[Rating]]&lt;=4.5),"Many Reviews + Average Rating","Doesn't meet Criteria"))</f>
        <v>Missing Entry</v>
      </c>
      <c r="R88" s="4" t="str">
        <f>IF(OR(tblProducts[[#This Row],[Review]]="",tblProducts[[#This Row],[Rating]]=""),"Missing Entry",IF(AND(tblProducts[[#This Row],[Review]]&gt;=15,tblProducts[[#This Row],[Rating]]&gt;4.5),"Strong Engagement + Excellent Rating","Doesn't meet criteria"))</f>
        <v>Missing Entry</v>
      </c>
    </row>
    <row r="89" spans="1:18" x14ac:dyDescent="0.35">
      <c r="A89" s="4" t="s">
        <v>175</v>
      </c>
      <c r="B89" s="6">
        <v>657</v>
      </c>
      <c r="C89" s="8">
        <v>1288</v>
      </c>
      <c r="D89" s="18" t="str">
        <f t="shared" si="14"/>
        <v>OK</v>
      </c>
      <c r="E89" s="21" t="str">
        <f t="shared" si="15"/>
        <v>Medium Price</v>
      </c>
      <c r="F89" s="9">
        <f t="shared" si="16"/>
        <v>631</v>
      </c>
      <c r="G89" s="14">
        <v>0.49</v>
      </c>
      <c r="H89" s="16" t="str">
        <f t="shared" si="17"/>
        <v>OK</v>
      </c>
      <c r="I89" s="16" t="str">
        <f t="shared" si="18"/>
        <v>High Discount</v>
      </c>
      <c r="J89" s="11"/>
      <c r="K89" s="11" t="str">
        <f>IF(tblProducts[[#This Row],[Review]]="","Missing Entry",IF(tblProducts[[#This Row],[Review]]&gt;=Review_Q3, "Strong  Customer Engagement","Low Customer Engagement"))</f>
        <v>Missing Entry</v>
      </c>
      <c r="M89" t="str">
        <f t="shared" si="19"/>
        <v>Missing Entry</v>
      </c>
      <c r="N89" s="4" t="str">
        <f t="shared" si="20"/>
        <v>Missing</v>
      </c>
      <c r="O89" s="4" t="str">
        <f>IF(OR(tblProducts[[#This Row],[Discount]]="",tblProducts[[#This Row],[Rating]]=""),"Missing Entry",IF(AND(tblProducts[[#This Row],[Discount]]&gt;=40%,tblProducts[[#This Row],[Rating]]&lt;3),"High Discount + Low Rating","Doesn't meet Criteria"))</f>
        <v>Missing Entry</v>
      </c>
      <c r="P89" s="4" t="str">
        <f>IF(OR(tblProducts[[#This Row],[Review]]="",tblProducts[[#This Row],[Discount]]=""),"Missing Entry",IF(AND(tblProducts[[#This Row],[Discount]]&gt;=40%,tblProducts[[#This Row],[Review]]&lt;15),"High Discount + Low Engagement","Doesn't meet Criteria"))</f>
        <v>Missing Entry</v>
      </c>
      <c r="Q89" s="4" t="str">
        <f>IF(OR(tblProducts[[#This Row],[Review]]="",tblProducts[[#This Row],[Rating]]=""),"Missing Entry",IF(AND(tblProducts[[#This Row],[Review]]&gt;=15,tblProducts[[#This Row],[Rating]]&gt;=3,tblProducts[[#This Row],[Rating]]&lt;=4.5),"Many Reviews + Average Rating","Doesn't meet Criteria"))</f>
        <v>Missing Entry</v>
      </c>
      <c r="R89" s="4" t="str">
        <f>IF(OR(tblProducts[[#This Row],[Review]]="",tblProducts[[#This Row],[Rating]]=""),"Missing Entry",IF(AND(tblProducts[[#This Row],[Review]]&gt;=15,tblProducts[[#This Row],[Rating]]&gt;4.5),"Strong Engagement + Excellent Rating","Doesn't meet criteria"))</f>
        <v>Missing Entry</v>
      </c>
    </row>
    <row r="90" spans="1:18" x14ac:dyDescent="0.35">
      <c r="A90" s="4" t="s">
        <v>264</v>
      </c>
      <c r="B90" s="6">
        <v>1468</v>
      </c>
      <c r="C90" s="8">
        <v>1699</v>
      </c>
      <c r="D90" s="18" t="str">
        <f t="shared" si="14"/>
        <v>OK</v>
      </c>
      <c r="E90" s="21" t="str">
        <f t="shared" si="15"/>
        <v>Medium Price</v>
      </c>
      <c r="F90" s="9">
        <f t="shared" si="16"/>
        <v>231</v>
      </c>
      <c r="G90" s="14">
        <v>0.11</v>
      </c>
      <c r="H90" s="16" t="str">
        <f t="shared" si="17"/>
        <v>OK</v>
      </c>
      <c r="I90" s="16" t="str">
        <f t="shared" si="18"/>
        <v>Low Discount</v>
      </c>
      <c r="J90" s="11"/>
      <c r="K90" s="11" t="str">
        <f>IF(tblProducts[[#This Row],[Review]]="","Missing Entry",IF(tblProducts[[#This Row],[Review]]&gt;=Review_Q3, "Strong  Customer Engagement","Low Customer Engagement"))</f>
        <v>Missing Entry</v>
      </c>
      <c r="M90" t="str">
        <f t="shared" si="19"/>
        <v>Missing Entry</v>
      </c>
      <c r="N90" s="4" t="str">
        <f t="shared" si="20"/>
        <v>Missing</v>
      </c>
      <c r="O90" s="4" t="str">
        <f>IF(OR(tblProducts[[#This Row],[Discount]]="",tblProducts[[#This Row],[Rating]]=""),"Missing Entry",IF(AND(tblProducts[[#This Row],[Discount]]&gt;=40%,tblProducts[[#This Row],[Rating]]&lt;3),"High Discount + Low Rating","Doesn't meet Criteria"))</f>
        <v>Missing Entry</v>
      </c>
      <c r="P90" s="4" t="str">
        <f>IF(OR(tblProducts[[#This Row],[Review]]="",tblProducts[[#This Row],[Discount]]=""),"Missing Entry",IF(AND(tblProducts[[#This Row],[Discount]]&gt;=40%,tblProducts[[#This Row],[Review]]&lt;15),"High Discount + Low Engagement","Doesn't meet Criteria"))</f>
        <v>Missing Entry</v>
      </c>
      <c r="Q90" s="4" t="str">
        <f>IF(OR(tblProducts[[#This Row],[Review]]="",tblProducts[[#This Row],[Rating]]=""),"Missing Entry",IF(AND(tblProducts[[#This Row],[Review]]&gt;=15,tblProducts[[#This Row],[Rating]]&gt;=3,tblProducts[[#This Row],[Rating]]&lt;=4.5),"Many Reviews + Average Rating","Doesn't meet Criteria"))</f>
        <v>Missing Entry</v>
      </c>
      <c r="R90" s="4" t="str">
        <f>IF(OR(tblProducts[[#This Row],[Review]]="",tblProducts[[#This Row],[Rating]]=""),"Missing Entry",IF(AND(tblProducts[[#This Row],[Review]]&gt;=15,tblProducts[[#This Row],[Rating]]&gt;4.5),"Strong Engagement + Excellent Rating","Doesn't meet criteria"))</f>
        <v>Missing Entry</v>
      </c>
    </row>
    <row r="91" spans="1:18" x14ac:dyDescent="0.35">
      <c r="A91" s="4" t="s">
        <v>266</v>
      </c>
      <c r="B91" s="6">
        <v>630</v>
      </c>
      <c r="C91" s="8">
        <v>1100</v>
      </c>
      <c r="D91" s="18" t="str">
        <f t="shared" si="14"/>
        <v>OK</v>
      </c>
      <c r="E91" s="21" t="str">
        <f t="shared" si="15"/>
        <v>Medium Price</v>
      </c>
      <c r="F91" s="9">
        <f t="shared" si="16"/>
        <v>470</v>
      </c>
      <c r="G91" s="14">
        <v>0.49</v>
      </c>
      <c r="H91" s="16" t="str">
        <f t="shared" si="17"/>
        <v>OK</v>
      </c>
      <c r="I91" s="16" t="str">
        <f t="shared" si="18"/>
        <v>High Discount</v>
      </c>
      <c r="J91" s="11"/>
      <c r="K91" s="11" t="str">
        <f>IF(tblProducts[[#This Row],[Review]]="","Missing Entry",IF(tblProducts[[#This Row],[Review]]&gt;=Review_Q3, "Strong  Customer Engagement","Low Customer Engagement"))</f>
        <v>Missing Entry</v>
      </c>
      <c r="M91" t="str">
        <f t="shared" si="19"/>
        <v>Missing Entry</v>
      </c>
      <c r="N91" s="4" t="str">
        <f t="shared" si="20"/>
        <v>Missing</v>
      </c>
      <c r="O91" s="4" t="str">
        <f>IF(OR(tblProducts[[#This Row],[Discount]]="",tblProducts[[#This Row],[Rating]]=""),"Missing Entry",IF(AND(tblProducts[[#This Row],[Discount]]&gt;=40%,tblProducts[[#This Row],[Rating]]&lt;3),"High Discount + Low Rating","Doesn't meet Criteria"))</f>
        <v>Missing Entry</v>
      </c>
      <c r="P91" s="4" t="str">
        <f>IF(OR(tblProducts[[#This Row],[Review]]="",tblProducts[[#This Row],[Discount]]=""),"Missing Entry",IF(AND(tblProducts[[#This Row],[Discount]]&gt;=40%,tblProducts[[#This Row],[Review]]&lt;15),"High Discount + Low Engagement","Doesn't meet Criteria"))</f>
        <v>Missing Entry</v>
      </c>
      <c r="Q91" s="4" t="str">
        <f>IF(OR(tblProducts[[#This Row],[Review]]="",tblProducts[[#This Row],[Rating]]=""),"Missing Entry",IF(AND(tblProducts[[#This Row],[Review]]&gt;=15,tblProducts[[#This Row],[Rating]]&gt;=3,tblProducts[[#This Row],[Rating]]&lt;=4.5),"Many Reviews + Average Rating","Doesn't meet Criteria"))</f>
        <v>Missing Entry</v>
      </c>
      <c r="R91" s="4" t="str">
        <f>IF(OR(tblProducts[[#This Row],[Review]]="",tblProducts[[#This Row],[Rating]]=""),"Missing Entry",IF(AND(tblProducts[[#This Row],[Review]]&gt;=15,tblProducts[[#This Row],[Rating]]&gt;4.5),"Strong Engagement + Excellent Rating","Doesn't meet criteria"))</f>
        <v>Missing Entry</v>
      </c>
    </row>
    <row r="92" spans="1:18" x14ac:dyDescent="0.35">
      <c r="A92" s="4" t="s">
        <v>269</v>
      </c>
      <c r="B92" s="6">
        <v>850</v>
      </c>
      <c r="C92" s="8">
        <v>1700</v>
      </c>
      <c r="D92" s="18" t="str">
        <f t="shared" si="14"/>
        <v>OK</v>
      </c>
      <c r="E92" s="21" t="str">
        <f t="shared" si="15"/>
        <v>Medium Price</v>
      </c>
      <c r="F92" s="9">
        <f t="shared" si="16"/>
        <v>850</v>
      </c>
      <c r="G92" s="14">
        <v>0.14000000000000001</v>
      </c>
      <c r="H92" s="16" t="str">
        <f t="shared" si="17"/>
        <v>OK</v>
      </c>
      <c r="I92" s="16" t="str">
        <f t="shared" si="18"/>
        <v>Low Discount</v>
      </c>
      <c r="J92" s="11"/>
      <c r="K92" s="11" t="str">
        <f>IF(tblProducts[[#This Row],[Review]]="","Missing Entry",IF(tblProducts[[#This Row],[Review]]&gt;=Review_Q3, "Strong  Customer Engagement","Low Customer Engagement"))</f>
        <v>Missing Entry</v>
      </c>
      <c r="M92" t="str">
        <f t="shared" si="19"/>
        <v>Missing Entry</v>
      </c>
      <c r="N92" s="4" t="str">
        <f t="shared" si="20"/>
        <v>Missing</v>
      </c>
      <c r="O92" s="4" t="str">
        <f>IF(OR(tblProducts[[#This Row],[Discount]]="",tblProducts[[#This Row],[Rating]]=""),"Missing Entry",IF(AND(tblProducts[[#This Row],[Discount]]&gt;=40%,tblProducts[[#This Row],[Rating]]&lt;3),"High Discount + Low Rating","Doesn't meet Criteria"))</f>
        <v>Missing Entry</v>
      </c>
      <c r="P92" s="4" t="str">
        <f>IF(OR(tblProducts[[#This Row],[Review]]="",tblProducts[[#This Row],[Discount]]=""),"Missing Entry",IF(AND(tblProducts[[#This Row],[Discount]]&gt;=40%,tblProducts[[#This Row],[Review]]&lt;15),"High Discount + Low Engagement","Doesn't meet Criteria"))</f>
        <v>Missing Entry</v>
      </c>
      <c r="Q92" s="4" t="str">
        <f>IF(OR(tblProducts[[#This Row],[Review]]="",tblProducts[[#This Row],[Rating]]=""),"Missing Entry",IF(AND(tblProducts[[#This Row],[Review]]&gt;=15,tblProducts[[#This Row],[Rating]]&gt;=3,tblProducts[[#This Row],[Rating]]&lt;=4.5),"Many Reviews + Average Rating","Doesn't meet Criteria"))</f>
        <v>Missing Entry</v>
      </c>
      <c r="R92" s="4" t="str">
        <f>IF(OR(tblProducts[[#This Row],[Review]]="",tblProducts[[#This Row],[Rating]]=""),"Missing Entry",IF(AND(tblProducts[[#This Row],[Review]]&gt;=15,tblProducts[[#This Row],[Rating]]&gt;4.5),"Strong Engagement + Excellent Rating","Doesn't meet criteria"))</f>
        <v>Missing Entry</v>
      </c>
    </row>
    <row r="93" spans="1:18" x14ac:dyDescent="0.35">
      <c r="A93" s="4" t="s">
        <v>272</v>
      </c>
      <c r="B93" s="6">
        <v>1300</v>
      </c>
      <c r="C93" s="8">
        <v>2500</v>
      </c>
      <c r="D93" s="18" t="str">
        <f t="shared" si="14"/>
        <v>OK</v>
      </c>
      <c r="E93" s="21" t="str">
        <f t="shared" si="15"/>
        <v>Medium Price</v>
      </c>
      <c r="F93" s="9">
        <f t="shared" si="16"/>
        <v>1200</v>
      </c>
      <c r="G93" s="14">
        <v>0.43</v>
      </c>
      <c r="H93" s="16" t="str">
        <f t="shared" si="17"/>
        <v>OK</v>
      </c>
      <c r="I93" s="16" t="str">
        <f t="shared" si="18"/>
        <v>High Discount</v>
      </c>
      <c r="J93" s="11"/>
      <c r="K93" s="11" t="str">
        <f>IF(tblProducts[[#This Row],[Review]]="","Missing Entry",IF(tblProducts[[#This Row],[Review]]&gt;=Review_Q3, "Strong  Customer Engagement","Low Customer Engagement"))</f>
        <v>Missing Entry</v>
      </c>
      <c r="M93" t="str">
        <f t="shared" si="19"/>
        <v>Missing Entry</v>
      </c>
      <c r="N93" s="4" t="str">
        <f t="shared" si="20"/>
        <v>Missing</v>
      </c>
      <c r="O93" s="4" t="str">
        <f>IF(OR(tblProducts[[#This Row],[Discount]]="",tblProducts[[#This Row],[Rating]]=""),"Missing Entry",IF(AND(tblProducts[[#This Row],[Discount]]&gt;=40%,tblProducts[[#This Row],[Rating]]&lt;3),"High Discount + Low Rating","Doesn't meet Criteria"))</f>
        <v>Missing Entry</v>
      </c>
      <c r="P93" s="4" t="str">
        <f>IF(OR(tblProducts[[#This Row],[Review]]="",tblProducts[[#This Row],[Discount]]=""),"Missing Entry",IF(AND(tblProducts[[#This Row],[Discount]]&gt;=40%,tblProducts[[#This Row],[Review]]&lt;15),"High Discount + Low Engagement","Doesn't meet Criteria"))</f>
        <v>Missing Entry</v>
      </c>
      <c r="Q93" s="4" t="str">
        <f>IF(OR(tblProducts[[#This Row],[Review]]="",tblProducts[[#This Row],[Rating]]=""),"Missing Entry",IF(AND(tblProducts[[#This Row],[Review]]&gt;=15,tblProducts[[#This Row],[Rating]]&gt;=3,tblProducts[[#This Row],[Rating]]&lt;=4.5),"Many Reviews + Average Rating","Doesn't meet Criteria"))</f>
        <v>Missing Entry</v>
      </c>
      <c r="R93" s="4" t="str">
        <f>IF(OR(tblProducts[[#This Row],[Review]]="",tblProducts[[#This Row],[Rating]]=""),"Missing Entry",IF(AND(tblProducts[[#This Row],[Review]]&gt;=15,tblProducts[[#This Row],[Rating]]&gt;4.5),"Strong Engagement + Excellent Rating","Doesn't meet criteria"))</f>
        <v>Missing Entry</v>
      </c>
    </row>
    <row r="94" spans="1:18" x14ac:dyDescent="0.35">
      <c r="A94" s="4" t="s">
        <v>274</v>
      </c>
      <c r="B94" s="6">
        <v>105</v>
      </c>
      <c r="C94" s="8">
        <v>200</v>
      </c>
      <c r="D94" s="18" t="str">
        <f t="shared" si="14"/>
        <v>OK</v>
      </c>
      <c r="E94" s="21" t="str">
        <f t="shared" si="15"/>
        <v>Low Price</v>
      </c>
      <c r="F94" s="9">
        <f t="shared" si="16"/>
        <v>95</v>
      </c>
      <c r="G94" s="14">
        <v>0.5</v>
      </c>
      <c r="H94" s="16" t="str">
        <f t="shared" si="17"/>
        <v>OK</v>
      </c>
      <c r="I94" s="16" t="str">
        <f t="shared" si="18"/>
        <v>High Discount</v>
      </c>
      <c r="J94" s="11"/>
      <c r="K94" s="11" t="str">
        <f>IF(tblProducts[[#This Row],[Review]]="","Missing Entry",IF(tblProducts[[#This Row],[Review]]&gt;=Review_Q3, "Strong  Customer Engagement","Low Customer Engagement"))</f>
        <v>Missing Entry</v>
      </c>
      <c r="M94" t="str">
        <f t="shared" si="19"/>
        <v>Missing Entry</v>
      </c>
      <c r="N94" s="4" t="str">
        <f t="shared" si="20"/>
        <v>Missing</v>
      </c>
      <c r="O94" s="4" t="str">
        <f>IF(OR(tblProducts[[#This Row],[Discount]]="",tblProducts[[#This Row],[Rating]]=""),"Missing Entry",IF(AND(tblProducts[[#This Row],[Discount]]&gt;=40%,tblProducts[[#This Row],[Rating]]&lt;3),"High Discount + Low Rating","Doesn't meet Criteria"))</f>
        <v>Missing Entry</v>
      </c>
      <c r="P94" s="4" t="str">
        <f>IF(OR(tblProducts[[#This Row],[Review]]="",tblProducts[[#This Row],[Discount]]=""),"Missing Entry",IF(AND(tblProducts[[#This Row],[Discount]]&gt;=40%,tblProducts[[#This Row],[Review]]&lt;15),"High Discount + Low Engagement","Doesn't meet Criteria"))</f>
        <v>Missing Entry</v>
      </c>
      <c r="Q94" s="4" t="str">
        <f>IF(OR(tblProducts[[#This Row],[Review]]="",tblProducts[[#This Row],[Rating]]=""),"Missing Entry",IF(AND(tblProducts[[#This Row],[Review]]&gt;=15,tblProducts[[#This Row],[Rating]]&gt;=3,tblProducts[[#This Row],[Rating]]&lt;=4.5),"Many Reviews + Average Rating","Doesn't meet Criteria"))</f>
        <v>Missing Entry</v>
      </c>
      <c r="R94" s="4" t="str">
        <f>IF(OR(tblProducts[[#This Row],[Review]]="",tblProducts[[#This Row],[Rating]]=""),"Missing Entry",IF(AND(tblProducts[[#This Row],[Review]]&gt;=15,tblProducts[[#This Row],[Rating]]&gt;4.5),"Strong Engagement + Excellent Rating","Doesn't meet criteria"))</f>
        <v>Missing Entry</v>
      </c>
    </row>
    <row r="95" spans="1:18" x14ac:dyDescent="0.35">
      <c r="A95" s="4" t="s">
        <v>277</v>
      </c>
      <c r="B95" s="6">
        <v>899</v>
      </c>
      <c r="C95" s="8">
        <v>1699</v>
      </c>
      <c r="D95" s="18" t="str">
        <f t="shared" si="14"/>
        <v>OK</v>
      </c>
      <c r="E95" s="21" t="str">
        <f t="shared" si="15"/>
        <v>Medium Price</v>
      </c>
      <c r="F95" s="9">
        <f t="shared" si="16"/>
        <v>800</v>
      </c>
      <c r="G95" s="14">
        <v>0.48</v>
      </c>
      <c r="H95" s="16" t="str">
        <f t="shared" si="17"/>
        <v>OK</v>
      </c>
      <c r="I95" s="16" t="str">
        <f t="shared" si="18"/>
        <v>High Discount</v>
      </c>
      <c r="J95" s="11"/>
      <c r="K95" s="11" t="str">
        <f>IF(tblProducts[[#This Row],[Review]]="","Missing Entry",IF(tblProducts[[#This Row],[Review]]&gt;=Review_Q3, "Strong  Customer Engagement","Low Customer Engagement"))</f>
        <v>Missing Entry</v>
      </c>
      <c r="M95" t="str">
        <f t="shared" si="19"/>
        <v>Missing Entry</v>
      </c>
      <c r="N95" s="4" t="str">
        <f t="shared" si="20"/>
        <v>Missing</v>
      </c>
      <c r="O95" s="4" t="str">
        <f>IF(OR(tblProducts[[#This Row],[Discount]]="",tblProducts[[#This Row],[Rating]]=""),"Missing Entry",IF(AND(tblProducts[[#This Row],[Discount]]&gt;=40%,tblProducts[[#This Row],[Rating]]&lt;3),"High Discount + Low Rating","Doesn't meet Criteria"))</f>
        <v>Missing Entry</v>
      </c>
      <c r="P95" s="4" t="str">
        <f>IF(OR(tblProducts[[#This Row],[Review]]="",tblProducts[[#This Row],[Discount]]=""),"Missing Entry",IF(AND(tblProducts[[#This Row],[Discount]]&gt;=40%,tblProducts[[#This Row],[Review]]&lt;15),"High Discount + Low Engagement","Doesn't meet Criteria"))</f>
        <v>Missing Entry</v>
      </c>
      <c r="Q95" s="4" t="str">
        <f>IF(OR(tblProducts[[#This Row],[Review]]="",tblProducts[[#This Row],[Rating]]=""),"Missing Entry",IF(AND(tblProducts[[#This Row],[Review]]&gt;=15,tblProducts[[#This Row],[Rating]]&gt;=3,tblProducts[[#This Row],[Rating]]&lt;=4.5),"Many Reviews + Average Rating","Doesn't meet Criteria"))</f>
        <v>Missing Entry</v>
      </c>
      <c r="R95" s="4" t="str">
        <f>IF(OR(tblProducts[[#This Row],[Review]]="",tblProducts[[#This Row],[Rating]]=""),"Missing Entry",IF(AND(tblProducts[[#This Row],[Review]]&gt;=15,tblProducts[[#This Row],[Rating]]&gt;4.5),"Strong Engagement + Excellent Rating","Doesn't meet criteria"))</f>
        <v>Missing Entry</v>
      </c>
    </row>
    <row r="96" spans="1:18" x14ac:dyDescent="0.35">
      <c r="A96" s="4" t="s">
        <v>376</v>
      </c>
      <c r="B96" s="6">
        <v>1200</v>
      </c>
      <c r="C96" s="8">
        <v>2400</v>
      </c>
      <c r="D96" s="18" t="str">
        <f t="shared" si="14"/>
        <v>OK</v>
      </c>
      <c r="E96" s="21" t="str">
        <f t="shared" si="15"/>
        <v>Medium Price</v>
      </c>
      <c r="F96" s="9">
        <f t="shared" si="16"/>
        <v>1200</v>
      </c>
      <c r="G96" s="14">
        <v>0.48</v>
      </c>
      <c r="H96" s="16" t="str">
        <f t="shared" si="17"/>
        <v>OK</v>
      </c>
      <c r="I96" s="16" t="str">
        <f t="shared" si="18"/>
        <v>High Discount</v>
      </c>
      <c r="J96" s="11"/>
      <c r="K96" s="11" t="str">
        <f>IF(tblProducts[[#This Row],[Review]]="","Missing Entry",IF(tblProducts[[#This Row],[Review]]&gt;=Review_Q3, "Strong  Customer Engagement","Low Customer Engagement"))</f>
        <v>Missing Entry</v>
      </c>
      <c r="M96" t="str">
        <f t="shared" si="19"/>
        <v>Missing Entry</v>
      </c>
      <c r="N96" s="4" t="str">
        <f t="shared" si="20"/>
        <v>Missing</v>
      </c>
      <c r="O96" s="4" t="str">
        <f>IF(OR(tblProducts[[#This Row],[Discount]]="",tblProducts[[#This Row],[Rating]]=""),"Missing Entry",IF(AND(tblProducts[[#This Row],[Discount]]&gt;=40%,tblProducts[[#This Row],[Rating]]&lt;3),"High Discount + Low Rating","Doesn't meet Criteria"))</f>
        <v>Missing Entry</v>
      </c>
      <c r="P96" s="4" t="str">
        <f>IF(OR(tblProducts[[#This Row],[Review]]="",tblProducts[[#This Row],[Discount]]=""),"Missing Entry",IF(AND(tblProducts[[#This Row],[Discount]]&gt;=40%,tblProducts[[#This Row],[Review]]&lt;15),"High Discount + Low Engagement","Doesn't meet Criteria"))</f>
        <v>Missing Entry</v>
      </c>
      <c r="Q96" s="4" t="str">
        <f>IF(OR(tblProducts[[#This Row],[Review]]="",tblProducts[[#This Row],[Rating]]=""),"Missing Entry",IF(AND(tblProducts[[#This Row],[Review]]&gt;=15,tblProducts[[#This Row],[Rating]]&gt;=3,tblProducts[[#This Row],[Rating]]&lt;=4.5),"Many Reviews + Average Rating","Doesn't meet Criteria"))</f>
        <v>Missing Entry</v>
      </c>
      <c r="R96" s="4" t="str">
        <f>IF(OR(tblProducts[[#This Row],[Review]]="",tblProducts[[#This Row],[Rating]]=""),"Missing Entry",IF(AND(tblProducts[[#This Row],[Review]]&gt;=15,tblProducts[[#This Row],[Rating]]&gt;4.5),"Strong Engagement + Excellent Rating","Doesn't meet criteria"))</f>
        <v>Missing Entry</v>
      </c>
    </row>
    <row r="97" spans="1:18" x14ac:dyDescent="0.35">
      <c r="A97" s="4" t="s">
        <v>280</v>
      </c>
      <c r="B97" s="6">
        <v>1526</v>
      </c>
      <c r="C97" s="8">
        <v>1660</v>
      </c>
      <c r="D97" s="18" t="str">
        <f t="shared" si="14"/>
        <v>OK</v>
      </c>
      <c r="E97" s="21" t="str">
        <f t="shared" si="15"/>
        <v>Medium Price</v>
      </c>
      <c r="F97" s="9">
        <f t="shared" si="16"/>
        <v>134</v>
      </c>
      <c r="G97" s="14">
        <v>0.47</v>
      </c>
      <c r="H97" s="16" t="str">
        <f t="shared" si="17"/>
        <v>OK</v>
      </c>
      <c r="I97" s="16" t="str">
        <f t="shared" si="18"/>
        <v>High Discount</v>
      </c>
      <c r="J97" s="11"/>
      <c r="K97" s="11" t="str">
        <f>IF(tblProducts[[#This Row],[Review]]="","Missing Entry",IF(tblProducts[[#This Row],[Review]]&gt;=Review_Q3, "Strong  Customer Engagement","Low Customer Engagement"))</f>
        <v>Missing Entry</v>
      </c>
      <c r="M97" t="str">
        <f t="shared" si="19"/>
        <v>Missing Entry</v>
      </c>
      <c r="N97" s="4" t="str">
        <f t="shared" si="20"/>
        <v>Missing</v>
      </c>
      <c r="O97" s="4" t="str">
        <f>IF(OR(tblProducts[[#This Row],[Discount]]="",tblProducts[[#This Row],[Rating]]=""),"Missing Entry",IF(AND(tblProducts[[#This Row],[Discount]]&gt;=40%,tblProducts[[#This Row],[Rating]]&lt;3),"High Discount + Low Rating","Doesn't meet Criteria"))</f>
        <v>Missing Entry</v>
      </c>
      <c r="P97" s="4" t="str">
        <f>IF(OR(tblProducts[[#This Row],[Review]]="",tblProducts[[#This Row],[Discount]]=""),"Missing Entry",IF(AND(tblProducts[[#This Row],[Discount]]&gt;=40%,tblProducts[[#This Row],[Review]]&lt;15),"High Discount + Low Engagement","Doesn't meet Criteria"))</f>
        <v>Missing Entry</v>
      </c>
      <c r="Q97" s="4" t="str">
        <f>IF(OR(tblProducts[[#This Row],[Review]]="",tblProducts[[#This Row],[Rating]]=""),"Missing Entry",IF(AND(tblProducts[[#This Row],[Review]]&gt;=15,tblProducts[[#This Row],[Rating]]&gt;=3,tblProducts[[#This Row],[Rating]]&lt;=4.5),"Many Reviews + Average Rating","Doesn't meet Criteria"))</f>
        <v>Missing Entry</v>
      </c>
      <c r="R97" s="4" t="str">
        <f>IF(OR(tblProducts[[#This Row],[Review]]="",tblProducts[[#This Row],[Rating]]=""),"Missing Entry",IF(AND(tblProducts[[#This Row],[Review]]&gt;=15,tblProducts[[#This Row],[Rating]]&gt;4.5),"Strong Engagement + Excellent Rating","Doesn't meet criteria"))</f>
        <v>Missing Entry</v>
      </c>
    </row>
    <row r="98" spans="1:18" x14ac:dyDescent="0.35">
      <c r="A98" s="4" t="s">
        <v>282</v>
      </c>
      <c r="B98" s="6">
        <v>1462</v>
      </c>
      <c r="C98" s="8">
        <v>1499</v>
      </c>
      <c r="D98" s="18" t="str">
        <f t="shared" ref="D98:D129" si="21">IF(B98&gt;C98,"Check prices","OK")</f>
        <v>OK</v>
      </c>
      <c r="E98" s="21" t="str">
        <f t="shared" ref="E98:E113" si="22">IF(B98="","Missing",IF(B98&gt;Price_Q3,"High Price",IF(B98&gt;Price_Q1,"Medium Price","Low Price")))</f>
        <v>Medium Price</v>
      </c>
      <c r="F98" s="9">
        <f t="shared" ref="F98:F113" si="23">C98-B98</f>
        <v>37</v>
      </c>
      <c r="G98" s="14">
        <v>0.47</v>
      </c>
      <c r="H98" s="16" t="str">
        <f t="shared" ref="H98:H129" si="24">IF(OR(G98&lt;0,G98&gt;1),"Check the discount","OK")</f>
        <v>OK</v>
      </c>
      <c r="I98" s="16" t="str">
        <f t="shared" ref="I98:I113" si="25">IF(G98="","Missing",IF(G98&lt;20%,"Low Discount",IF(G98&lt;=40%,"Medium Discount","High Discount")))</f>
        <v>High Discount</v>
      </c>
      <c r="J98" s="11"/>
      <c r="K98" s="11" t="str">
        <f>IF(tblProducts[[#This Row],[Review]]="","Missing Entry",IF(tblProducts[[#This Row],[Review]]&gt;=Review_Q3, "Strong  Customer Engagement","Low Customer Engagement"))</f>
        <v>Missing Entry</v>
      </c>
      <c r="M98" t="str">
        <f t="shared" ref="M98:M129" si="26">IF(L98="","Missing Entry",IF(OR(L98&lt;0,L98&gt;5),"Check the rating","OK"))</f>
        <v>Missing Entry</v>
      </c>
      <c r="N98" s="4" t="str">
        <f t="shared" ref="N98:N113" si="27">IF(L98="","Missing",IF(L98&lt;3,"Poor",IF(L98&lt;=4.5,"Average","Excellent")))</f>
        <v>Missing</v>
      </c>
      <c r="O98" s="4" t="str">
        <f>IF(OR(tblProducts[[#This Row],[Discount]]="",tblProducts[[#This Row],[Rating]]=""),"Missing Entry",IF(AND(tblProducts[[#This Row],[Discount]]&gt;=40%,tblProducts[[#This Row],[Rating]]&lt;3),"High Discount + Low Rating","Doesn't meet Criteria"))</f>
        <v>Missing Entry</v>
      </c>
      <c r="P98" s="4" t="str">
        <f>IF(OR(tblProducts[[#This Row],[Review]]="",tblProducts[[#This Row],[Discount]]=""),"Missing Entry",IF(AND(tblProducts[[#This Row],[Discount]]&gt;=40%,tblProducts[[#This Row],[Review]]&lt;15),"High Discount + Low Engagement","Doesn't meet Criteria"))</f>
        <v>Missing Entry</v>
      </c>
      <c r="Q98" s="4" t="str">
        <f>IF(OR(tblProducts[[#This Row],[Review]]="",tblProducts[[#This Row],[Rating]]=""),"Missing Entry",IF(AND(tblProducts[[#This Row],[Review]]&gt;=15,tblProducts[[#This Row],[Rating]]&gt;=3,tblProducts[[#This Row],[Rating]]&lt;=4.5),"Many Reviews + Average Rating","Doesn't meet Criteria"))</f>
        <v>Missing Entry</v>
      </c>
      <c r="R98" s="4" t="str">
        <f>IF(OR(tblProducts[[#This Row],[Review]]="",tblProducts[[#This Row],[Rating]]=""),"Missing Entry",IF(AND(tblProducts[[#This Row],[Review]]&gt;=15,tblProducts[[#This Row],[Rating]]&gt;4.5),"Strong Engagement + Excellent Rating","Doesn't meet criteria"))</f>
        <v>Missing Entry</v>
      </c>
    </row>
    <row r="99" spans="1:18" x14ac:dyDescent="0.35">
      <c r="A99" s="4" t="s">
        <v>284</v>
      </c>
      <c r="B99" s="6">
        <v>248</v>
      </c>
      <c r="C99" s="8">
        <v>486</v>
      </c>
      <c r="D99" s="18" t="str">
        <f t="shared" si="21"/>
        <v>OK</v>
      </c>
      <c r="E99" s="21" t="str">
        <f t="shared" si="22"/>
        <v>Low Price</v>
      </c>
      <c r="F99" s="9">
        <f t="shared" si="23"/>
        <v>238</v>
      </c>
      <c r="G99" s="14">
        <v>0.5</v>
      </c>
      <c r="H99" s="16" t="str">
        <f t="shared" si="24"/>
        <v>OK</v>
      </c>
      <c r="I99" s="16" t="str">
        <f t="shared" si="25"/>
        <v>High Discount</v>
      </c>
      <c r="J99" s="11"/>
      <c r="K99" s="11" t="str">
        <f>IF(tblProducts[[#This Row],[Review]]="","Missing Entry",IF(tblProducts[[#This Row],[Review]]&gt;=Review_Q3, "Strong  Customer Engagement","Low Customer Engagement"))</f>
        <v>Missing Entry</v>
      </c>
      <c r="M99" t="str">
        <f t="shared" si="26"/>
        <v>Missing Entry</v>
      </c>
      <c r="N99" s="4" t="str">
        <f t="shared" si="27"/>
        <v>Missing</v>
      </c>
      <c r="O99" s="4" t="str">
        <f>IF(OR(tblProducts[[#This Row],[Discount]]="",tblProducts[[#This Row],[Rating]]=""),"Missing Entry",IF(AND(tblProducts[[#This Row],[Discount]]&gt;=40%,tblProducts[[#This Row],[Rating]]&lt;3),"High Discount + Low Rating","Doesn't meet Criteria"))</f>
        <v>Missing Entry</v>
      </c>
      <c r="P99" s="4" t="str">
        <f>IF(OR(tblProducts[[#This Row],[Review]]="",tblProducts[[#This Row],[Discount]]=""),"Missing Entry",IF(AND(tblProducts[[#This Row],[Discount]]&gt;=40%,tblProducts[[#This Row],[Review]]&lt;15),"High Discount + Low Engagement","Doesn't meet Criteria"))</f>
        <v>Missing Entry</v>
      </c>
      <c r="Q99" s="4" t="str">
        <f>IF(OR(tblProducts[[#This Row],[Review]]="",tblProducts[[#This Row],[Rating]]=""),"Missing Entry",IF(AND(tblProducts[[#This Row],[Review]]&gt;=15,tblProducts[[#This Row],[Rating]]&gt;=3,tblProducts[[#This Row],[Rating]]&lt;=4.5),"Many Reviews + Average Rating","Doesn't meet Criteria"))</f>
        <v>Missing Entry</v>
      </c>
      <c r="R99" s="4" t="str">
        <f>IF(OR(tblProducts[[#This Row],[Review]]="",tblProducts[[#This Row],[Rating]]=""),"Missing Entry",IF(AND(tblProducts[[#This Row],[Review]]&gt;=15,tblProducts[[#This Row],[Rating]]&gt;4.5),"Strong Engagement + Excellent Rating","Doesn't meet criteria"))</f>
        <v>Missing Entry</v>
      </c>
    </row>
    <row r="100" spans="1:18" x14ac:dyDescent="0.35">
      <c r="A100" s="4" t="s">
        <v>287</v>
      </c>
      <c r="B100" s="6">
        <v>3546</v>
      </c>
      <c r="C100" s="8">
        <v>3699</v>
      </c>
      <c r="D100" s="18" t="str">
        <f t="shared" si="21"/>
        <v>OK</v>
      </c>
      <c r="E100" s="21" t="str">
        <f t="shared" si="22"/>
        <v>High Price</v>
      </c>
      <c r="F100" s="9">
        <f t="shared" si="23"/>
        <v>153</v>
      </c>
      <c r="G100" s="14">
        <v>0.08</v>
      </c>
      <c r="H100" s="16" t="str">
        <f t="shared" si="24"/>
        <v>OK</v>
      </c>
      <c r="I100" s="16" t="str">
        <f t="shared" si="25"/>
        <v>Low Discount</v>
      </c>
      <c r="J100" s="11"/>
      <c r="K100" s="11" t="str">
        <f>IF(tblProducts[[#This Row],[Review]]="","Missing Entry",IF(tblProducts[[#This Row],[Review]]&gt;=Review_Q3, "Strong  Customer Engagement","Low Customer Engagement"))</f>
        <v>Missing Entry</v>
      </c>
      <c r="M100" t="str">
        <f t="shared" si="26"/>
        <v>Missing Entry</v>
      </c>
      <c r="N100" s="4" t="str">
        <f t="shared" si="27"/>
        <v>Missing</v>
      </c>
      <c r="O100" s="4" t="str">
        <f>IF(OR(tblProducts[[#This Row],[Discount]]="",tblProducts[[#This Row],[Rating]]=""),"Missing Entry",IF(AND(tblProducts[[#This Row],[Discount]]&gt;=40%,tblProducts[[#This Row],[Rating]]&lt;3),"High Discount + Low Rating","Doesn't meet Criteria"))</f>
        <v>Missing Entry</v>
      </c>
      <c r="P100" s="4" t="str">
        <f>IF(OR(tblProducts[[#This Row],[Review]]="",tblProducts[[#This Row],[Discount]]=""),"Missing Entry",IF(AND(tblProducts[[#This Row],[Discount]]&gt;=40%,tblProducts[[#This Row],[Review]]&lt;15),"High Discount + Low Engagement","Doesn't meet Criteria"))</f>
        <v>Missing Entry</v>
      </c>
      <c r="Q100" s="4" t="str">
        <f>IF(OR(tblProducts[[#This Row],[Review]]="",tblProducts[[#This Row],[Rating]]=""),"Missing Entry",IF(AND(tblProducts[[#This Row],[Review]]&gt;=15,tblProducts[[#This Row],[Rating]]&gt;=3,tblProducts[[#This Row],[Rating]]&lt;=4.5),"Many Reviews + Average Rating","Doesn't meet Criteria"))</f>
        <v>Missing Entry</v>
      </c>
      <c r="R100" s="4" t="str">
        <f>IF(OR(tblProducts[[#This Row],[Review]]="",tblProducts[[#This Row],[Rating]]=""),"Missing Entry",IF(AND(tblProducts[[#This Row],[Review]]&gt;=15,tblProducts[[#This Row],[Rating]]&gt;4.5),"Strong Engagement + Excellent Rating","Doesn't meet criteria"))</f>
        <v>Missing Entry</v>
      </c>
    </row>
    <row r="101" spans="1:18" x14ac:dyDescent="0.35">
      <c r="A101" s="4" t="s">
        <v>289</v>
      </c>
      <c r="B101" s="6">
        <v>525</v>
      </c>
      <c r="C101" s="8">
        <v>1029</v>
      </c>
      <c r="D101" s="18" t="str">
        <f t="shared" si="21"/>
        <v>OK</v>
      </c>
      <c r="E101" s="21" t="str">
        <f t="shared" si="22"/>
        <v>Medium Price</v>
      </c>
      <c r="F101" s="9">
        <f t="shared" si="23"/>
        <v>504</v>
      </c>
      <c r="G101" s="14">
        <v>0.02</v>
      </c>
      <c r="H101" s="16" t="str">
        <f t="shared" si="24"/>
        <v>OK</v>
      </c>
      <c r="I101" s="16" t="str">
        <f t="shared" si="25"/>
        <v>Low Discount</v>
      </c>
      <c r="J101" s="11"/>
      <c r="K101" s="11" t="str">
        <f>IF(tblProducts[[#This Row],[Review]]="","Missing Entry",IF(tblProducts[[#This Row],[Review]]&gt;=Review_Q3, "Strong  Customer Engagement","Low Customer Engagement"))</f>
        <v>Missing Entry</v>
      </c>
      <c r="M101" t="str">
        <f t="shared" si="26"/>
        <v>Missing Entry</v>
      </c>
      <c r="N101" s="4" t="str">
        <f t="shared" si="27"/>
        <v>Missing</v>
      </c>
      <c r="O101" s="4" t="str">
        <f>IF(OR(tblProducts[[#This Row],[Discount]]="",tblProducts[[#This Row],[Rating]]=""),"Missing Entry",IF(AND(tblProducts[[#This Row],[Discount]]&gt;=40%,tblProducts[[#This Row],[Rating]]&lt;3),"High Discount + Low Rating","Doesn't meet Criteria"))</f>
        <v>Missing Entry</v>
      </c>
      <c r="P101" s="4" t="str">
        <f>IF(OR(tblProducts[[#This Row],[Review]]="",tblProducts[[#This Row],[Discount]]=""),"Missing Entry",IF(AND(tblProducts[[#This Row],[Discount]]&gt;=40%,tblProducts[[#This Row],[Review]]&lt;15),"High Discount + Low Engagement","Doesn't meet Criteria"))</f>
        <v>Missing Entry</v>
      </c>
      <c r="Q101" s="4" t="str">
        <f>IF(OR(tblProducts[[#This Row],[Review]]="",tblProducts[[#This Row],[Rating]]=""),"Missing Entry",IF(AND(tblProducts[[#This Row],[Review]]&gt;=15,tblProducts[[#This Row],[Rating]]&gt;=3,tblProducts[[#This Row],[Rating]]&lt;=4.5),"Many Reviews + Average Rating","Doesn't meet Criteria"))</f>
        <v>Missing Entry</v>
      </c>
      <c r="R101" s="4" t="str">
        <f>IF(OR(tblProducts[[#This Row],[Review]]="",tblProducts[[#This Row],[Rating]]=""),"Missing Entry",IF(AND(tblProducts[[#This Row],[Review]]&gt;=15,tblProducts[[#This Row],[Rating]]&gt;4.5),"Strong Engagement + Excellent Rating","Doesn't meet criteria"))</f>
        <v>Missing Entry</v>
      </c>
    </row>
    <row r="102" spans="1:18" x14ac:dyDescent="0.35">
      <c r="A102" s="4" t="s">
        <v>377</v>
      </c>
      <c r="B102" s="6">
        <v>1080</v>
      </c>
      <c r="C102" s="8">
        <v>1874</v>
      </c>
      <c r="D102" s="18" t="str">
        <f t="shared" si="21"/>
        <v>OK</v>
      </c>
      <c r="E102" s="21" t="str">
        <f t="shared" si="22"/>
        <v>Medium Price</v>
      </c>
      <c r="F102" s="9">
        <f t="shared" si="23"/>
        <v>794</v>
      </c>
      <c r="G102" s="14">
        <v>0.49</v>
      </c>
      <c r="H102" s="16" t="str">
        <f t="shared" si="24"/>
        <v>OK</v>
      </c>
      <c r="I102" s="16" t="str">
        <f t="shared" si="25"/>
        <v>High Discount</v>
      </c>
      <c r="J102" s="11"/>
      <c r="K102" s="11" t="str">
        <f>IF(tblProducts[[#This Row],[Review]]="","Missing Entry",IF(tblProducts[[#This Row],[Review]]&gt;=Review_Q3, "Strong  Customer Engagement","Low Customer Engagement"))</f>
        <v>Missing Entry</v>
      </c>
      <c r="M102" t="str">
        <f t="shared" si="26"/>
        <v>Missing Entry</v>
      </c>
      <c r="N102" s="4" t="str">
        <f t="shared" si="27"/>
        <v>Missing</v>
      </c>
      <c r="O102" s="4" t="str">
        <f>IF(OR(tblProducts[[#This Row],[Discount]]="",tblProducts[[#This Row],[Rating]]=""),"Missing Entry",IF(AND(tblProducts[[#This Row],[Discount]]&gt;=40%,tblProducts[[#This Row],[Rating]]&lt;3),"High Discount + Low Rating","Doesn't meet Criteria"))</f>
        <v>Missing Entry</v>
      </c>
      <c r="P102" s="4" t="str">
        <f>IF(OR(tblProducts[[#This Row],[Review]]="",tblProducts[[#This Row],[Discount]]=""),"Missing Entry",IF(AND(tblProducts[[#This Row],[Discount]]&gt;=40%,tblProducts[[#This Row],[Review]]&lt;15),"High Discount + Low Engagement","Doesn't meet Criteria"))</f>
        <v>Missing Entry</v>
      </c>
      <c r="Q102" s="4" t="str">
        <f>IF(OR(tblProducts[[#This Row],[Review]]="",tblProducts[[#This Row],[Rating]]=""),"Missing Entry",IF(AND(tblProducts[[#This Row],[Review]]&gt;=15,tblProducts[[#This Row],[Rating]]&gt;=3,tblProducts[[#This Row],[Rating]]&lt;=4.5),"Many Reviews + Average Rating","Doesn't meet Criteria"))</f>
        <v>Missing Entry</v>
      </c>
      <c r="R102" s="4" t="str">
        <f>IF(OR(tblProducts[[#This Row],[Review]]="",tblProducts[[#This Row],[Rating]]=""),"Missing Entry",IF(AND(tblProducts[[#This Row],[Review]]&gt;=15,tblProducts[[#This Row],[Rating]]&gt;4.5),"Strong Engagement + Excellent Rating","Doesn't meet criteria"))</f>
        <v>Missing Entry</v>
      </c>
    </row>
    <row r="103" spans="1:18" hidden="1" x14ac:dyDescent="0.35">
      <c r="A103" s="4" t="s">
        <v>378</v>
      </c>
      <c r="B103" s="6">
        <v>3640</v>
      </c>
      <c r="C103" s="8">
        <v>4588</v>
      </c>
      <c r="D103" s="18" t="str">
        <f t="shared" si="21"/>
        <v>OK</v>
      </c>
      <c r="E103" s="21" t="str">
        <f t="shared" si="22"/>
        <v>High Price</v>
      </c>
      <c r="F103" s="9">
        <f t="shared" si="23"/>
        <v>948</v>
      </c>
      <c r="G103" s="14">
        <v>0.04</v>
      </c>
      <c r="H103" s="16" t="str">
        <f t="shared" si="24"/>
        <v>OK</v>
      </c>
      <c r="I103" s="16" t="str">
        <f t="shared" si="25"/>
        <v>Low Discount</v>
      </c>
      <c r="J103" s="11">
        <v>1</v>
      </c>
      <c r="K103" s="11" t="str">
        <f>IF(tblProducts[[#This Row],[Review]]="","Missing Entry",IF(tblProducts[[#This Row],[Review]]&gt;=Review_Q3, "Strong  Customer Engagement","Low Customer Engagement"))</f>
        <v>Low Customer Engagement</v>
      </c>
      <c r="L103" s="23">
        <v>5</v>
      </c>
      <c r="M103" t="str">
        <f t="shared" si="26"/>
        <v>OK</v>
      </c>
      <c r="N103" s="4" t="str">
        <f t="shared" si="27"/>
        <v>Excellent</v>
      </c>
      <c r="O103" s="4" t="str">
        <f>IF(OR(tblProducts[[#This Row],[Discount]]="",tblProducts[[#This Row],[Rating]]=""),"Missing Entry",IF(AND(tblProducts[[#This Row],[Discount]]&gt;=40%,tblProducts[[#This Row],[Rating]]&lt;3),"High Discount + Low Rating","Doesn't meet Criteria"))</f>
        <v>Doesn't meet Criteria</v>
      </c>
      <c r="P103" s="4" t="str">
        <f>IF(OR(tblProducts[[#This Row],[Review]]="",tblProducts[[#This Row],[Discount]]=""),"Missing Entry",IF(AND(tblProducts[[#This Row],[Discount]]&gt;=40%,tblProducts[[#This Row],[Review]]&lt;15),"High Discount + Low Engagement","Doesn't meet Criteria"))</f>
        <v>Doesn't meet Criteria</v>
      </c>
      <c r="Q103" s="4" t="str">
        <f>IF(OR(tblProducts[[#This Row],[Review]]="",tblProducts[[#This Row],[Rating]]=""),"Missing Entry",IF(AND(tblProducts[[#This Row],[Review]]&gt;=15,tblProducts[[#This Row],[Rating]]&gt;=3,tblProducts[[#This Row],[Rating]]&lt;=4.5),"Many Reviews + Average Rating","Doesn't meet Criteria"))</f>
        <v>Doesn't meet Criteria</v>
      </c>
      <c r="R103" s="4" t="str">
        <f>IF(OR(tblProducts[[#This Row],[Review]]="",tblProducts[[#This Row],[Rating]]=""),"Missing Entry",IF(AND(tblProducts[[#This Row],[Review]]&gt;=15,tblProducts[[#This Row],[Rating]]&gt;4.5),"Strong Engagement + Excellent Rating","Doesn't meet criteria"))</f>
        <v>Doesn't meet criteria</v>
      </c>
    </row>
    <row r="104" spans="1:18" x14ac:dyDescent="0.35">
      <c r="A104" s="4" t="s">
        <v>379</v>
      </c>
      <c r="B104" s="6">
        <v>1420</v>
      </c>
      <c r="C104" s="8">
        <v>2420</v>
      </c>
      <c r="D104" s="18" t="str">
        <f t="shared" si="21"/>
        <v>OK</v>
      </c>
      <c r="E104" s="21" t="str">
        <f t="shared" si="22"/>
        <v>Medium Price</v>
      </c>
      <c r="F104" s="9">
        <f t="shared" si="23"/>
        <v>1000</v>
      </c>
      <c r="G104" s="14">
        <v>0.49</v>
      </c>
      <c r="H104" s="16" t="str">
        <f t="shared" si="24"/>
        <v>OK</v>
      </c>
      <c r="I104" s="16" t="str">
        <f t="shared" si="25"/>
        <v>High Discount</v>
      </c>
      <c r="J104" s="11"/>
      <c r="K104" s="11" t="str">
        <f>IF(tblProducts[[#This Row],[Review]]="","Missing Entry",IF(tblProducts[[#This Row],[Review]]&gt;=Review_Q3, "Strong  Customer Engagement","Low Customer Engagement"))</f>
        <v>Missing Entry</v>
      </c>
      <c r="M104" t="str">
        <f t="shared" si="26"/>
        <v>Missing Entry</v>
      </c>
      <c r="N104" s="4" t="str">
        <f t="shared" si="27"/>
        <v>Missing</v>
      </c>
      <c r="O104" s="4" t="str">
        <f>IF(OR(tblProducts[[#This Row],[Discount]]="",tblProducts[[#This Row],[Rating]]=""),"Missing Entry",IF(AND(tblProducts[[#This Row],[Discount]]&gt;=40%,tblProducts[[#This Row],[Rating]]&lt;3),"High Discount + Low Rating","Doesn't meet Criteria"))</f>
        <v>Missing Entry</v>
      </c>
      <c r="P104" s="4" t="str">
        <f>IF(OR(tblProducts[[#This Row],[Review]]="",tblProducts[[#This Row],[Discount]]=""),"Missing Entry",IF(AND(tblProducts[[#This Row],[Discount]]&gt;=40%,tblProducts[[#This Row],[Review]]&lt;15),"High Discount + Low Engagement","Doesn't meet Criteria"))</f>
        <v>Missing Entry</v>
      </c>
      <c r="Q104" s="4" t="str">
        <f>IF(OR(tblProducts[[#This Row],[Review]]="",tblProducts[[#This Row],[Rating]]=""),"Missing Entry",IF(AND(tblProducts[[#This Row],[Review]]&gt;=15,tblProducts[[#This Row],[Rating]]&gt;=3,tblProducts[[#This Row],[Rating]]&lt;=4.5),"Many Reviews + Average Rating","Doesn't meet Criteria"))</f>
        <v>Missing Entry</v>
      </c>
      <c r="R104" s="4" t="str">
        <f>IF(OR(tblProducts[[#This Row],[Review]]="",tblProducts[[#This Row],[Rating]]=""),"Missing Entry",IF(AND(tblProducts[[#This Row],[Review]]&gt;=15,tblProducts[[#This Row],[Rating]]&gt;4.5),"Strong Engagement + Excellent Rating","Doesn't meet criteria"))</f>
        <v>Missing Entry</v>
      </c>
    </row>
    <row r="105" spans="1:18" x14ac:dyDescent="0.35">
      <c r="A105" s="4" t="s">
        <v>380</v>
      </c>
      <c r="B105" s="6">
        <v>1875</v>
      </c>
      <c r="C105" s="8">
        <v>1899</v>
      </c>
      <c r="D105" s="18" t="str">
        <f t="shared" si="21"/>
        <v>OK</v>
      </c>
      <c r="E105" s="21" t="str">
        <f t="shared" si="22"/>
        <v>High Price</v>
      </c>
      <c r="F105" s="9">
        <f t="shared" si="23"/>
        <v>24</v>
      </c>
      <c r="G105" s="14">
        <v>0.42</v>
      </c>
      <c r="H105" s="16" t="str">
        <f t="shared" si="24"/>
        <v>OK</v>
      </c>
      <c r="I105" s="16" t="str">
        <f t="shared" si="25"/>
        <v>High Discount</v>
      </c>
      <c r="J105" s="11"/>
      <c r="K105" s="11" t="str">
        <f>IF(tblProducts[[#This Row],[Review]]="","Missing Entry",IF(tblProducts[[#This Row],[Review]]&gt;=Review_Q3, "Strong  Customer Engagement","Low Customer Engagement"))</f>
        <v>Missing Entry</v>
      </c>
      <c r="M105" t="str">
        <f t="shared" si="26"/>
        <v>Missing Entry</v>
      </c>
      <c r="N105" s="4" t="str">
        <f t="shared" si="27"/>
        <v>Missing</v>
      </c>
      <c r="O105" s="4" t="str">
        <f>IF(OR(tblProducts[[#This Row],[Discount]]="",tblProducts[[#This Row],[Rating]]=""),"Missing Entry",IF(AND(tblProducts[[#This Row],[Discount]]&gt;=40%,tblProducts[[#This Row],[Rating]]&lt;3),"High Discount + Low Rating","Doesn't meet Criteria"))</f>
        <v>Missing Entry</v>
      </c>
      <c r="P105" s="4" t="str">
        <f>IF(OR(tblProducts[[#This Row],[Review]]="",tblProducts[[#This Row],[Discount]]=""),"Missing Entry",IF(AND(tblProducts[[#This Row],[Discount]]&gt;=40%,tblProducts[[#This Row],[Review]]&lt;15),"High Discount + Low Engagement","Doesn't meet Criteria"))</f>
        <v>Missing Entry</v>
      </c>
      <c r="Q105" s="4" t="str">
        <f>IF(OR(tblProducts[[#This Row],[Review]]="",tblProducts[[#This Row],[Rating]]=""),"Missing Entry",IF(AND(tblProducts[[#This Row],[Review]]&gt;=15,tblProducts[[#This Row],[Rating]]&gt;=3,tblProducts[[#This Row],[Rating]]&lt;=4.5),"Many Reviews + Average Rating","Doesn't meet Criteria"))</f>
        <v>Missing Entry</v>
      </c>
      <c r="R105" s="4" t="str">
        <f>IF(OR(tblProducts[[#This Row],[Review]]="",tblProducts[[#This Row],[Rating]]=""),"Missing Entry",IF(AND(tblProducts[[#This Row],[Review]]&gt;=15,tblProducts[[#This Row],[Rating]]&gt;4.5),"Strong Engagement + Excellent Rating","Doesn't meet criteria"))</f>
        <v>Missing Entry</v>
      </c>
    </row>
    <row r="106" spans="1:18" x14ac:dyDescent="0.35">
      <c r="A106" s="4" t="s">
        <v>381</v>
      </c>
      <c r="B106" s="6">
        <v>198</v>
      </c>
      <c r="C106" s="8">
        <v>260</v>
      </c>
      <c r="D106" s="18" t="str">
        <f t="shared" si="21"/>
        <v>OK</v>
      </c>
      <c r="E106" s="21" t="str">
        <f t="shared" si="22"/>
        <v>Low Price</v>
      </c>
      <c r="F106" s="9">
        <f t="shared" si="23"/>
        <v>62</v>
      </c>
      <c r="G106" s="14">
        <v>0.21</v>
      </c>
      <c r="H106" s="16" t="str">
        <f t="shared" si="24"/>
        <v>OK</v>
      </c>
      <c r="I106" s="16" t="str">
        <f t="shared" si="25"/>
        <v>Medium Discount</v>
      </c>
      <c r="J106" s="11"/>
      <c r="K106" s="11" t="str">
        <f>IF(tblProducts[[#This Row],[Review]]="","Missing Entry",IF(tblProducts[[#This Row],[Review]]&gt;=Review_Q3, "Strong  Customer Engagement","Low Customer Engagement"))</f>
        <v>Missing Entry</v>
      </c>
      <c r="M106" t="str">
        <f t="shared" si="26"/>
        <v>Missing Entry</v>
      </c>
      <c r="N106" s="4" t="str">
        <f t="shared" si="27"/>
        <v>Missing</v>
      </c>
      <c r="O106" s="4" t="str">
        <f>IF(OR(tblProducts[[#This Row],[Discount]]="",tblProducts[[#This Row],[Rating]]=""),"Missing Entry",IF(AND(tblProducts[[#This Row],[Discount]]&gt;=40%,tblProducts[[#This Row],[Rating]]&lt;3),"High Discount + Low Rating","Doesn't meet Criteria"))</f>
        <v>Missing Entry</v>
      </c>
      <c r="P106" s="4" t="str">
        <f>IF(OR(tblProducts[[#This Row],[Review]]="",tblProducts[[#This Row],[Discount]]=""),"Missing Entry",IF(AND(tblProducts[[#This Row],[Discount]]&gt;=40%,tblProducts[[#This Row],[Review]]&lt;15),"High Discount + Low Engagement","Doesn't meet Criteria"))</f>
        <v>Missing Entry</v>
      </c>
      <c r="Q106" s="4" t="str">
        <f>IF(OR(tblProducts[[#This Row],[Review]]="",tblProducts[[#This Row],[Rating]]=""),"Missing Entry",IF(AND(tblProducts[[#This Row],[Review]]&gt;=15,tblProducts[[#This Row],[Rating]]&gt;=3,tblProducts[[#This Row],[Rating]]&lt;=4.5),"Many Reviews + Average Rating","Doesn't meet Criteria"))</f>
        <v>Missing Entry</v>
      </c>
      <c r="R106" s="4" t="str">
        <f>IF(OR(tblProducts[[#This Row],[Review]]="",tblProducts[[#This Row],[Rating]]=""),"Missing Entry",IF(AND(tblProducts[[#This Row],[Review]]&gt;=15,tblProducts[[#This Row],[Rating]]&gt;4.5),"Strong Engagement + Excellent Rating","Doesn't meet criteria"))</f>
        <v>Missing Entry</v>
      </c>
    </row>
    <row r="107" spans="1:18" x14ac:dyDescent="0.35">
      <c r="A107" s="4" t="s">
        <v>382</v>
      </c>
      <c r="B107" s="6">
        <v>1150</v>
      </c>
      <c r="C107" s="8">
        <v>1737</v>
      </c>
      <c r="D107" s="18" t="str">
        <f t="shared" si="21"/>
        <v>OK</v>
      </c>
      <c r="E107" s="21" t="str">
        <f t="shared" si="22"/>
        <v>Medium Price</v>
      </c>
      <c r="F107" s="9">
        <f t="shared" si="23"/>
        <v>587</v>
      </c>
      <c r="G107" s="14">
        <v>0.41</v>
      </c>
      <c r="H107" s="16" t="str">
        <f t="shared" si="24"/>
        <v>OK</v>
      </c>
      <c r="I107" s="16" t="str">
        <f t="shared" si="25"/>
        <v>High Discount</v>
      </c>
      <c r="J107" s="11"/>
      <c r="K107" s="11" t="str">
        <f>IF(tblProducts[[#This Row],[Review]]="","Missing Entry",IF(tblProducts[[#This Row],[Review]]&gt;=Review_Q3, "Strong  Customer Engagement","Low Customer Engagement"))</f>
        <v>Missing Entry</v>
      </c>
      <c r="M107" t="str">
        <f t="shared" si="26"/>
        <v>Missing Entry</v>
      </c>
      <c r="N107" s="4" t="str">
        <f t="shared" si="27"/>
        <v>Missing</v>
      </c>
      <c r="O107" s="4" t="str">
        <f>IF(OR(tblProducts[[#This Row],[Discount]]="",tblProducts[[#This Row],[Rating]]=""),"Missing Entry",IF(AND(tblProducts[[#This Row],[Discount]]&gt;=40%,tblProducts[[#This Row],[Rating]]&lt;3),"High Discount + Low Rating","Doesn't meet Criteria"))</f>
        <v>Missing Entry</v>
      </c>
      <c r="P107" s="4" t="str">
        <f>IF(OR(tblProducts[[#This Row],[Review]]="",tblProducts[[#This Row],[Discount]]=""),"Missing Entry",IF(AND(tblProducts[[#This Row],[Discount]]&gt;=40%,tblProducts[[#This Row],[Review]]&lt;15),"High Discount + Low Engagement","Doesn't meet Criteria"))</f>
        <v>Missing Entry</v>
      </c>
      <c r="Q107" s="4" t="str">
        <f>IF(OR(tblProducts[[#This Row],[Review]]="",tblProducts[[#This Row],[Rating]]=""),"Missing Entry",IF(AND(tblProducts[[#This Row],[Review]]&gt;=15,tblProducts[[#This Row],[Rating]]&gt;=3,tblProducts[[#This Row],[Rating]]&lt;=4.5),"Many Reviews + Average Rating","Doesn't meet Criteria"))</f>
        <v>Missing Entry</v>
      </c>
      <c r="R107" s="4" t="str">
        <f>IF(OR(tblProducts[[#This Row],[Review]]="",tblProducts[[#This Row],[Rating]]=""),"Missing Entry",IF(AND(tblProducts[[#This Row],[Review]]&gt;=15,tblProducts[[#This Row],[Rating]]&gt;4.5),"Strong Engagement + Excellent Rating","Doesn't meet criteria"))</f>
        <v>Missing Entry</v>
      </c>
    </row>
    <row r="108" spans="1:18" x14ac:dyDescent="0.35">
      <c r="A108" s="4" t="s">
        <v>383</v>
      </c>
      <c r="B108" s="6">
        <v>1190</v>
      </c>
      <c r="C108" s="8">
        <v>1810</v>
      </c>
      <c r="D108" s="18" t="str">
        <f t="shared" si="21"/>
        <v>OK</v>
      </c>
      <c r="E108" s="21" t="str">
        <f t="shared" si="22"/>
        <v>Medium Price</v>
      </c>
      <c r="F108" s="9">
        <f t="shared" si="23"/>
        <v>620</v>
      </c>
      <c r="G108" s="14">
        <v>0.01</v>
      </c>
      <c r="H108" s="16" t="str">
        <f t="shared" si="24"/>
        <v>OK</v>
      </c>
      <c r="I108" s="16" t="str">
        <f t="shared" si="25"/>
        <v>Low Discount</v>
      </c>
      <c r="J108" s="11"/>
      <c r="K108" s="11" t="str">
        <f>IF(tblProducts[[#This Row],[Review]]="","Missing Entry",IF(tblProducts[[#This Row],[Review]]&gt;=Review_Q3, "Strong  Customer Engagement","Low Customer Engagement"))</f>
        <v>Missing Entry</v>
      </c>
      <c r="M108" t="str">
        <f t="shared" si="26"/>
        <v>Missing Entry</v>
      </c>
      <c r="N108" s="4" t="str">
        <f t="shared" si="27"/>
        <v>Missing</v>
      </c>
      <c r="O108" s="4" t="str">
        <f>IF(OR(tblProducts[[#This Row],[Discount]]="",tblProducts[[#This Row],[Rating]]=""),"Missing Entry",IF(AND(tblProducts[[#This Row],[Discount]]&gt;=40%,tblProducts[[#This Row],[Rating]]&lt;3),"High Discount + Low Rating","Doesn't meet Criteria"))</f>
        <v>Missing Entry</v>
      </c>
      <c r="P108" s="4" t="str">
        <f>IF(OR(tblProducts[[#This Row],[Review]]="",tblProducts[[#This Row],[Discount]]=""),"Missing Entry",IF(AND(tblProducts[[#This Row],[Discount]]&gt;=40%,tblProducts[[#This Row],[Review]]&lt;15),"High Discount + Low Engagement","Doesn't meet Criteria"))</f>
        <v>Missing Entry</v>
      </c>
      <c r="Q108" s="4" t="str">
        <f>IF(OR(tblProducts[[#This Row],[Review]]="",tblProducts[[#This Row],[Rating]]=""),"Missing Entry",IF(AND(tblProducts[[#This Row],[Review]]&gt;=15,tblProducts[[#This Row],[Rating]]&gt;=3,tblProducts[[#This Row],[Rating]]&lt;=4.5),"Many Reviews + Average Rating","Doesn't meet Criteria"))</f>
        <v>Missing Entry</v>
      </c>
      <c r="R108" s="4" t="str">
        <f>IF(OR(tblProducts[[#This Row],[Review]]="",tblProducts[[#This Row],[Rating]]=""),"Missing Entry",IF(AND(tblProducts[[#This Row],[Review]]&gt;=15,tblProducts[[#This Row],[Rating]]&gt;4.5),"Strong Engagement + Excellent Rating","Doesn't meet criteria"))</f>
        <v>Missing Entry</v>
      </c>
    </row>
    <row r="109" spans="1:18" x14ac:dyDescent="0.35">
      <c r="A109" s="4" t="s">
        <v>312</v>
      </c>
      <c r="B109" s="6">
        <v>1658</v>
      </c>
      <c r="C109" s="8">
        <v>1699</v>
      </c>
      <c r="D109" s="18" t="str">
        <f t="shared" si="21"/>
        <v>OK</v>
      </c>
      <c r="E109" s="21" t="str">
        <f t="shared" si="22"/>
        <v>Medium Price</v>
      </c>
      <c r="F109" s="9">
        <f t="shared" si="23"/>
        <v>41</v>
      </c>
      <c r="G109" s="14">
        <v>0.24</v>
      </c>
      <c r="H109" s="16" t="str">
        <f t="shared" si="24"/>
        <v>OK</v>
      </c>
      <c r="I109" s="16" t="str">
        <f t="shared" si="25"/>
        <v>Medium Discount</v>
      </c>
      <c r="J109" s="11"/>
      <c r="K109" s="11" t="str">
        <f>IF(tblProducts[[#This Row],[Review]]="","Missing Entry",IF(tblProducts[[#This Row],[Review]]&gt;=Review_Q3, "Strong  Customer Engagement","Low Customer Engagement"))</f>
        <v>Missing Entry</v>
      </c>
      <c r="M109" t="str">
        <f t="shared" si="26"/>
        <v>Missing Entry</v>
      </c>
      <c r="N109" s="4" t="str">
        <f t="shared" si="27"/>
        <v>Missing</v>
      </c>
      <c r="O109" s="4" t="str">
        <f>IF(OR(tblProducts[[#This Row],[Discount]]="",tblProducts[[#This Row],[Rating]]=""),"Missing Entry",IF(AND(tblProducts[[#This Row],[Discount]]&gt;=40%,tblProducts[[#This Row],[Rating]]&lt;3),"High Discount + Low Rating","Doesn't meet Criteria"))</f>
        <v>Missing Entry</v>
      </c>
      <c r="P109" s="4" t="str">
        <f>IF(OR(tblProducts[[#This Row],[Review]]="",tblProducts[[#This Row],[Discount]]=""),"Missing Entry",IF(AND(tblProducts[[#This Row],[Discount]]&gt;=40%,tblProducts[[#This Row],[Review]]&lt;15),"High Discount + Low Engagement","Doesn't meet Criteria"))</f>
        <v>Missing Entry</v>
      </c>
      <c r="Q109" s="4" t="str">
        <f>IF(OR(tblProducts[[#This Row],[Review]]="",tblProducts[[#This Row],[Rating]]=""),"Missing Entry",IF(AND(tblProducts[[#This Row],[Review]]&gt;=15,tblProducts[[#This Row],[Rating]]&gt;=3,tblProducts[[#This Row],[Rating]]&lt;=4.5),"Many Reviews + Average Rating","Doesn't meet Criteria"))</f>
        <v>Missing Entry</v>
      </c>
      <c r="R109" s="4" t="str">
        <f>IF(OR(tblProducts[[#This Row],[Review]]="",tblProducts[[#This Row],[Rating]]=""),"Missing Entry",IF(AND(tblProducts[[#This Row],[Review]]&gt;=15,tblProducts[[#This Row],[Rating]]&gt;4.5),"Strong Engagement + Excellent Rating","Doesn't meet criteria"))</f>
        <v>Missing Entry</v>
      </c>
    </row>
    <row r="110" spans="1:18" x14ac:dyDescent="0.35">
      <c r="A110" s="4" t="s">
        <v>314</v>
      </c>
      <c r="B110" s="6">
        <v>1768</v>
      </c>
      <c r="C110" s="8">
        <v>1799</v>
      </c>
      <c r="D110" s="18" t="str">
        <f t="shared" si="21"/>
        <v>OK</v>
      </c>
      <c r="E110" s="21" t="str">
        <f t="shared" si="22"/>
        <v>High Price</v>
      </c>
      <c r="F110" s="9">
        <f t="shared" si="23"/>
        <v>31</v>
      </c>
      <c r="G110" s="14">
        <v>0.34</v>
      </c>
      <c r="H110" s="16" t="str">
        <f t="shared" si="24"/>
        <v>OK</v>
      </c>
      <c r="I110" s="16" t="str">
        <f t="shared" si="25"/>
        <v>Medium Discount</v>
      </c>
      <c r="J110" s="11"/>
      <c r="K110" s="11" t="str">
        <f>IF(tblProducts[[#This Row],[Review]]="","Missing Entry",IF(tblProducts[[#This Row],[Review]]&gt;=Review_Q3, "Strong  Customer Engagement","Low Customer Engagement"))</f>
        <v>Missing Entry</v>
      </c>
      <c r="M110" t="str">
        <f t="shared" si="26"/>
        <v>Missing Entry</v>
      </c>
      <c r="N110" s="4" t="str">
        <f t="shared" si="27"/>
        <v>Missing</v>
      </c>
      <c r="O110" s="4" t="str">
        <f>IF(OR(tblProducts[[#This Row],[Discount]]="",tblProducts[[#This Row],[Rating]]=""),"Missing Entry",IF(AND(tblProducts[[#This Row],[Discount]]&gt;=40%,tblProducts[[#This Row],[Rating]]&lt;3),"High Discount + Low Rating","Doesn't meet Criteria"))</f>
        <v>Missing Entry</v>
      </c>
      <c r="P110" s="4" t="str">
        <f>IF(OR(tblProducts[[#This Row],[Review]]="",tblProducts[[#This Row],[Discount]]=""),"Missing Entry",IF(AND(tblProducts[[#This Row],[Discount]]&gt;=40%,tblProducts[[#This Row],[Review]]&lt;15),"High Discount + Low Engagement","Doesn't meet Criteria"))</f>
        <v>Missing Entry</v>
      </c>
      <c r="Q110" s="4" t="str">
        <f>IF(OR(tblProducts[[#This Row],[Review]]="",tblProducts[[#This Row],[Rating]]=""),"Missing Entry",IF(AND(tblProducts[[#This Row],[Review]]&gt;=15,tblProducts[[#This Row],[Rating]]&gt;=3,tblProducts[[#This Row],[Rating]]&lt;=4.5),"Many Reviews + Average Rating","Doesn't meet Criteria"))</f>
        <v>Missing Entry</v>
      </c>
      <c r="R110" s="4" t="str">
        <f>IF(OR(tblProducts[[#This Row],[Review]]="",tblProducts[[#This Row],[Rating]]=""),"Missing Entry",IF(AND(tblProducts[[#This Row],[Review]]&gt;=15,tblProducts[[#This Row],[Rating]]&gt;4.5),"Strong Engagement + Excellent Rating","Doesn't meet criteria"))</f>
        <v>Missing Entry</v>
      </c>
    </row>
    <row r="111" spans="1:18" x14ac:dyDescent="0.35">
      <c r="A111" s="4" t="s">
        <v>316</v>
      </c>
      <c r="B111" s="6">
        <v>199</v>
      </c>
      <c r="C111" s="8">
        <v>553</v>
      </c>
      <c r="D111" s="18" t="str">
        <f t="shared" si="21"/>
        <v>OK</v>
      </c>
      <c r="E111" s="21" t="str">
        <f t="shared" si="22"/>
        <v>Low Price</v>
      </c>
      <c r="F111" s="9">
        <f t="shared" si="23"/>
        <v>354</v>
      </c>
      <c r="G111" s="14">
        <v>0.34</v>
      </c>
      <c r="H111" s="16" t="str">
        <f t="shared" si="24"/>
        <v>OK</v>
      </c>
      <c r="I111" s="16" t="str">
        <f t="shared" si="25"/>
        <v>Medium Discount</v>
      </c>
      <c r="J111" s="11"/>
      <c r="K111" s="11" t="str">
        <f>IF(tblProducts[[#This Row],[Review]]="","Missing Entry",IF(tblProducts[[#This Row],[Review]]&gt;=Review_Q3, "Strong  Customer Engagement","Low Customer Engagement"))</f>
        <v>Missing Entry</v>
      </c>
      <c r="M111" t="str">
        <f t="shared" si="26"/>
        <v>Missing Entry</v>
      </c>
      <c r="N111" s="4" t="str">
        <f t="shared" si="27"/>
        <v>Missing</v>
      </c>
      <c r="O111" s="4" t="str">
        <f>IF(OR(tblProducts[[#This Row],[Discount]]="",tblProducts[[#This Row],[Rating]]=""),"Missing Entry",IF(AND(tblProducts[[#This Row],[Discount]]&gt;=40%,tblProducts[[#This Row],[Rating]]&lt;3),"High Discount + Low Rating","Doesn't meet Criteria"))</f>
        <v>Missing Entry</v>
      </c>
      <c r="P111" s="4" t="str">
        <f>IF(OR(tblProducts[[#This Row],[Review]]="",tblProducts[[#This Row],[Discount]]=""),"Missing Entry",IF(AND(tblProducts[[#This Row],[Discount]]&gt;=40%,tblProducts[[#This Row],[Review]]&lt;15),"High Discount + Low Engagement","Doesn't meet Criteria"))</f>
        <v>Missing Entry</v>
      </c>
      <c r="Q111" s="4" t="str">
        <f>IF(OR(tblProducts[[#This Row],[Review]]="",tblProducts[[#This Row],[Rating]]=""),"Missing Entry",IF(AND(tblProducts[[#This Row],[Review]]&gt;=15,tblProducts[[#This Row],[Rating]]&gt;=3,tblProducts[[#This Row],[Rating]]&lt;=4.5),"Many Reviews + Average Rating","Doesn't meet Criteria"))</f>
        <v>Missing Entry</v>
      </c>
      <c r="R111" s="4" t="str">
        <f>IF(OR(tblProducts[[#This Row],[Review]]="",tblProducts[[#This Row],[Rating]]=""),"Missing Entry",IF(AND(tblProducts[[#This Row],[Review]]&gt;=15,tblProducts[[#This Row],[Rating]]&gt;4.5),"Strong Engagement + Excellent Rating","Doesn't meet criteria"))</f>
        <v>Missing Entry</v>
      </c>
    </row>
    <row r="112" spans="1:18" hidden="1" x14ac:dyDescent="0.35">
      <c r="A112" s="4" t="s">
        <v>384</v>
      </c>
      <c r="B112" s="6">
        <v>450</v>
      </c>
      <c r="C112" s="8">
        <v>900</v>
      </c>
      <c r="D112" s="18" t="str">
        <f t="shared" si="21"/>
        <v>OK</v>
      </c>
      <c r="E112" s="21" t="str">
        <f t="shared" si="22"/>
        <v>Low Price</v>
      </c>
      <c r="F112" s="9">
        <f t="shared" si="23"/>
        <v>450</v>
      </c>
      <c r="G112" s="14">
        <v>0.02</v>
      </c>
      <c r="H112" s="16" t="str">
        <f t="shared" si="24"/>
        <v>OK</v>
      </c>
      <c r="I112" s="16" t="str">
        <f t="shared" si="25"/>
        <v>Low Discount</v>
      </c>
      <c r="J112" s="11">
        <v>1</v>
      </c>
      <c r="K112" s="11" t="str">
        <f>IF(tblProducts[[#This Row],[Review]]="","Missing Entry",IF(tblProducts[[#This Row],[Review]]&gt;=Review_Q3, "Strong  Customer Engagement","Low Customer Engagement"))</f>
        <v>Low Customer Engagement</v>
      </c>
      <c r="L112" s="23">
        <v>2</v>
      </c>
      <c r="M112" t="str">
        <f t="shared" si="26"/>
        <v>OK</v>
      </c>
      <c r="N112" s="4" t="str">
        <f t="shared" si="27"/>
        <v>Poor</v>
      </c>
      <c r="O112" s="4" t="str">
        <f>IF(OR(tblProducts[[#This Row],[Discount]]="",tblProducts[[#This Row],[Rating]]=""),"Missing Entry",IF(AND(tblProducts[[#This Row],[Discount]]&gt;=40%,tblProducts[[#This Row],[Rating]]&lt;3),"High Discount + Low Rating","Doesn't meet Criteria"))</f>
        <v>Doesn't meet Criteria</v>
      </c>
      <c r="P112" s="4" t="str">
        <f>IF(OR(tblProducts[[#This Row],[Review]]="",tblProducts[[#This Row],[Discount]]=""),"Missing Entry",IF(AND(tblProducts[[#This Row],[Discount]]&gt;=40%,tblProducts[[#This Row],[Review]]&lt;15),"High Discount + Low Engagement","Doesn't meet Criteria"))</f>
        <v>Doesn't meet Criteria</v>
      </c>
      <c r="Q112" s="4" t="str">
        <f>IF(OR(tblProducts[[#This Row],[Review]]="",tblProducts[[#This Row],[Rating]]=""),"Missing Entry",IF(AND(tblProducts[[#This Row],[Review]]&gt;=15,tblProducts[[#This Row],[Rating]]&gt;=3,tblProducts[[#This Row],[Rating]]&lt;=4.5),"Many Reviews + Average Rating","Doesn't meet Criteria"))</f>
        <v>Doesn't meet Criteria</v>
      </c>
      <c r="R112" s="4" t="str">
        <f>IF(OR(tblProducts[[#This Row],[Review]]="",tblProducts[[#This Row],[Rating]]=""),"Missing Entry",IF(AND(tblProducts[[#This Row],[Review]]&gt;=15,tblProducts[[#This Row],[Rating]]&gt;4.5),"Strong Engagement + Excellent Rating","Doesn't meet criteria"))</f>
        <v>Doesn't meet criteria</v>
      </c>
    </row>
    <row r="113" spans="1:18" x14ac:dyDescent="0.35">
      <c r="A113" s="4" t="s">
        <v>320</v>
      </c>
      <c r="B113" s="6">
        <v>169</v>
      </c>
      <c r="C113" s="8">
        <v>320</v>
      </c>
      <c r="D113" s="18" t="str">
        <f t="shared" si="21"/>
        <v>OK</v>
      </c>
      <c r="E113" s="21" t="str">
        <f t="shared" si="22"/>
        <v>Low Price</v>
      </c>
      <c r="F113" s="9">
        <f t="shared" si="23"/>
        <v>151</v>
      </c>
      <c r="G113" s="14">
        <v>0.02</v>
      </c>
      <c r="H113" s="16" t="str">
        <f t="shared" si="24"/>
        <v>OK</v>
      </c>
      <c r="I113" s="16" t="str">
        <f t="shared" si="25"/>
        <v>Low Discount</v>
      </c>
      <c r="J113" s="11"/>
      <c r="K113" s="11" t="str">
        <f>IF(tblProducts[[#This Row],[Review]]="","Missing Entry",IF(tblProducts[[#This Row],[Review]]&gt;=Review_Q3, "Strong  Customer Engagement","Low Customer Engagement"))</f>
        <v>Missing Entry</v>
      </c>
      <c r="M113" t="str">
        <f t="shared" si="26"/>
        <v>Missing Entry</v>
      </c>
      <c r="N113" s="4" t="str">
        <f t="shared" si="27"/>
        <v>Missing</v>
      </c>
      <c r="O113" s="4" t="str">
        <f>IF(OR(tblProducts[[#This Row],[Discount]]="",tblProducts[[#This Row],[Rating]]=""),"Missing Entry",IF(AND(tblProducts[[#This Row],[Discount]]&gt;=40%,tblProducts[[#This Row],[Rating]]&lt;3),"High Discount + Low Rating","Doesn't meet Criteria"))</f>
        <v>Missing Entry</v>
      </c>
      <c r="P113" s="4" t="str">
        <f>IF(OR(tblProducts[[#This Row],[Review]]="",tblProducts[[#This Row],[Discount]]=""),"Missing Entry",IF(AND(tblProducts[[#This Row],[Discount]]&gt;=40%,tblProducts[[#This Row],[Review]]&lt;15),"High Discount + Low Engagement","Doesn't meet Criteria"))</f>
        <v>Missing Entry</v>
      </c>
      <c r="Q113" s="4" t="str">
        <f>IF(OR(tblProducts[[#This Row],[Review]]="",tblProducts[[#This Row],[Rating]]=""),"Missing Entry",IF(AND(tblProducts[[#This Row],[Review]]&gt;=15,tblProducts[[#This Row],[Rating]]&gt;=3,tblProducts[[#This Row],[Rating]]&lt;=4.5),"Many Reviews + Average Rating","Doesn't meet Criteria"))</f>
        <v>Missing Entry</v>
      </c>
      <c r="R113" s="4" t="str">
        <f>IF(OR(tblProducts[[#This Row],[Review]]="",tblProducts[[#This Row],[Rating]]=""),"Missing Entry",IF(AND(tblProducts[[#This Row],[Review]]&gt;=15,tblProducts[[#This Row],[Rating]]&gt;4.5),"Strong Engagement + Excellent Rating","Doesn't meet criteria"))</f>
        <v>Missing Entry</v>
      </c>
    </row>
  </sheetData>
  <phoneticPr fontId="19" type="noConversion"/>
  <conditionalFormatting sqref="I1:I1048576">
    <cfRule type="containsText" dxfId="23" priority="4" operator="containsText" text="High Discount">
      <formula>NOT(ISERROR(SEARCH("High Discount",I1)))</formula>
    </cfRule>
  </conditionalFormatting>
  <conditionalFormatting sqref="K1:K1048576">
    <cfRule type="containsText" dxfId="22" priority="1" operator="containsText" text="Strong">
      <formula>NOT(ISERROR(SEARCH("Strong",K1)))</formula>
    </cfRule>
    <cfRule type="containsText" dxfId="21" priority="2" operator="containsText" text="Strong Customer Engagement">
      <formula>NOT(ISERROR(SEARCH("Strong Customer Engagement",K1)))</formula>
    </cfRule>
  </conditionalFormatting>
  <conditionalFormatting sqref="N1:N1048576">
    <cfRule type="containsText" dxfId="20" priority="5" operator="containsText" text="Poor">
      <formula>NOT(ISERROR(SEARCH("Poor",N1)))</formula>
    </cfRule>
    <cfRule type="iconSet" priority="6">
      <iconSet iconSet="3Arrows">
        <cfvo type="percent" val="0"/>
        <cfvo type="percent" val="33"/>
        <cfvo type="percent" val="67"/>
      </iconSet>
    </cfRule>
    <cfRule type="cellIs" dxfId="19" priority="7" operator="equal">
      <formula>"Poor"</formula>
    </cfRule>
    <cfRule type="cellIs" dxfId="18" priority="8" operator="equal">
      <formula>"Poor"</formula>
    </cfRule>
  </conditionalFormatting>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1330-78B9-4053-8B12-909E78DAE6CD}">
  <dimension ref="A1:E99"/>
  <sheetViews>
    <sheetView tabSelected="1" topLeftCell="A7" zoomScale="82" zoomScaleNormal="70" workbookViewId="0">
      <selection activeCell="B2" sqref="B2"/>
    </sheetView>
  </sheetViews>
  <sheetFormatPr defaultRowHeight="14.5" x14ac:dyDescent="0.35"/>
  <cols>
    <col min="1" max="1" width="43.7265625" customWidth="1"/>
    <col min="2" max="2" width="13.6328125" bestFit="1" customWidth="1"/>
    <col min="4" max="4" width="27.453125" customWidth="1"/>
    <col min="5" max="5" width="16.08984375" customWidth="1"/>
  </cols>
  <sheetData>
    <row r="1" spans="1:2" x14ac:dyDescent="0.35">
      <c r="A1" s="24" t="s">
        <v>403</v>
      </c>
    </row>
    <row r="2" spans="1:2" x14ac:dyDescent="0.35">
      <c r="A2" t="s">
        <v>401</v>
      </c>
      <c r="B2">
        <f>_xlfn.QUARTILE.INC(tblProducts[Current Price],1)</f>
        <v>493</v>
      </c>
    </row>
    <row r="3" spans="1:2" x14ac:dyDescent="0.35">
      <c r="A3" t="s">
        <v>402</v>
      </c>
      <c r="B3">
        <f>_xlfn.QUARTILE.INC(tblProducts[Current Price],3)</f>
        <v>1669.5</v>
      </c>
    </row>
    <row r="6" spans="1:2" x14ac:dyDescent="0.35">
      <c r="A6" s="24" t="s">
        <v>404</v>
      </c>
    </row>
    <row r="7" spans="1:2" x14ac:dyDescent="0.35">
      <c r="A7" t="s">
        <v>405</v>
      </c>
      <c r="B7">
        <f>_xlfn.QUARTILE.INC(tblProducts[[#This Row],[Review]],3)</f>
        <v>15</v>
      </c>
    </row>
    <row r="10" spans="1:2" x14ac:dyDescent="0.35">
      <c r="A10" s="24" t="s">
        <v>412</v>
      </c>
    </row>
    <row r="11" spans="1:2" x14ac:dyDescent="0.35">
      <c r="A11" s="25" t="s">
        <v>413</v>
      </c>
    </row>
    <row r="12" spans="1:2" x14ac:dyDescent="0.35">
      <c r="A12" t="s">
        <v>414</v>
      </c>
      <c r="B12">
        <f>ROWS(tblProducts[Product])</f>
        <v>112</v>
      </c>
    </row>
    <row r="13" spans="1:2" x14ac:dyDescent="0.35">
      <c r="A13" t="s">
        <v>415</v>
      </c>
      <c r="B13">
        <f>AVERAGE(tblProducts[Current Price])</f>
        <v>1186.8928571428571</v>
      </c>
    </row>
    <row r="14" spans="1:2" x14ac:dyDescent="0.35">
      <c r="A14" t="s">
        <v>416</v>
      </c>
      <c r="B14">
        <f>AVERAGE(tblProducts[Old  Price])</f>
        <v>1811.1071428571429</v>
      </c>
    </row>
    <row r="15" spans="1:2" x14ac:dyDescent="0.35">
      <c r="A15" t="s">
        <v>417</v>
      </c>
      <c r="B15">
        <f>AVERAGE(tblProducts[Discount])</f>
        <v>0.36508928571428573</v>
      </c>
    </row>
    <row r="16" spans="1:2" x14ac:dyDescent="0.35">
      <c r="A16" t="s">
        <v>418</v>
      </c>
      <c r="B16">
        <f>AVERAGE(tblProducts[Rating])</f>
        <v>3.8894736842105258</v>
      </c>
    </row>
    <row r="17" spans="1:5" x14ac:dyDescent="0.35">
      <c r="A17" t="s">
        <v>419</v>
      </c>
      <c r="B17" s="26">
        <f>SUM(tblProducts[Review])</f>
        <v>723</v>
      </c>
    </row>
    <row r="18" spans="1:5" x14ac:dyDescent="0.35">
      <c r="A18" t="s">
        <v>420</v>
      </c>
      <c r="B18">
        <f>MAX(tblProducts[Current Price])</f>
        <v>3750</v>
      </c>
    </row>
    <row r="19" spans="1:5" x14ac:dyDescent="0.35">
      <c r="A19" t="s">
        <v>421</v>
      </c>
      <c r="B19">
        <f>MIN(tblProducts[Current Price])</f>
        <v>38</v>
      </c>
    </row>
    <row r="21" spans="1:5" x14ac:dyDescent="0.35">
      <c r="A21" s="24" t="s">
        <v>422</v>
      </c>
    </row>
    <row r="22" spans="1:5" x14ac:dyDescent="0.35">
      <c r="A22" t="s">
        <v>423</v>
      </c>
      <c r="B22" t="str">
        <f>_xlfn.XLOOKUP(MAX(tblProducts[Current Price]),tblProducts[Current Price],tblProducts[Product])</f>
        <v>32Pcs Portable Cordless Drill Set With Cyclic Battery Drive -26 Variable Speed</v>
      </c>
    </row>
    <row r="23" spans="1:5" x14ac:dyDescent="0.35">
      <c r="A23" t="s">
        <v>424</v>
      </c>
      <c r="B23" t="str">
        <f>_xlfn.XLOOKUP(MIN(tblProducts[Current Price]),tblProducts[Current Price],tblProducts[Product])</f>
        <v>3Pcs Single Head Knitting Crochet Sweater Needle Set</v>
      </c>
    </row>
    <row r="25" spans="1:5" x14ac:dyDescent="0.35">
      <c r="A25" s="24" t="s">
        <v>425</v>
      </c>
    </row>
    <row r="26" spans="1:5" x14ac:dyDescent="0.35">
      <c r="A26" t="s">
        <v>426</v>
      </c>
    </row>
    <row r="30" spans="1:5" x14ac:dyDescent="0.35">
      <c r="E30" t="s">
        <v>433</v>
      </c>
    </row>
    <row r="31" spans="1:5" x14ac:dyDescent="0.35">
      <c r="E31">
        <f>CORREL(tblProducts[Discount],tblProducts[Review])</f>
        <v>4.4005656265291876E-2</v>
      </c>
    </row>
    <row r="32" spans="1:5" x14ac:dyDescent="0.35">
      <c r="E32" t="s">
        <v>427</v>
      </c>
    </row>
    <row r="33" spans="1:5" x14ac:dyDescent="0.35">
      <c r="E33">
        <v>0.24399999999999999</v>
      </c>
    </row>
    <row r="44" spans="1:5" x14ac:dyDescent="0.35">
      <c r="A44" t="s">
        <v>428</v>
      </c>
    </row>
    <row r="45" spans="1:5" x14ac:dyDescent="0.35">
      <c r="E45" t="s">
        <v>429</v>
      </c>
    </row>
    <row r="46" spans="1:5" x14ac:dyDescent="0.35">
      <c r="E46">
        <f>CORREL(tblProducts[Rating],tblProducts[Review])</f>
        <v>5.7209035119876482E-2</v>
      </c>
    </row>
    <row r="47" spans="1:5" x14ac:dyDescent="0.35">
      <c r="E47" t="s">
        <v>427</v>
      </c>
    </row>
    <row r="48" spans="1:5" x14ac:dyDescent="0.35">
      <c r="E48">
        <v>2.4400000000000002E-2</v>
      </c>
    </row>
    <row r="63" spans="1:1" x14ac:dyDescent="0.35">
      <c r="A63" t="s">
        <v>430</v>
      </c>
    </row>
    <row r="66" spans="5:5" x14ac:dyDescent="0.35">
      <c r="E66" t="s">
        <v>431</v>
      </c>
    </row>
    <row r="67" spans="5:5" x14ac:dyDescent="0.35">
      <c r="E67">
        <f>CORREL(tblProducts[Current Price],tblProducts[Rating])</f>
        <v>0.11009021272510708</v>
      </c>
    </row>
    <row r="68" spans="5:5" x14ac:dyDescent="0.35">
      <c r="E68" t="s">
        <v>432</v>
      </c>
    </row>
    <row r="69" spans="5:5" x14ac:dyDescent="0.35">
      <c r="E69">
        <v>0.22639999999999999</v>
      </c>
    </row>
    <row r="98" spans="1:2" x14ac:dyDescent="0.35">
      <c r="A98" t="s">
        <v>465</v>
      </c>
    </row>
    <row r="99" spans="1:2" x14ac:dyDescent="0.35">
      <c r="A99" s="32">
        <f ca="1">NOW()</f>
        <v>46270.908842708333</v>
      </c>
      <c r="B99" s="33"/>
    </row>
  </sheetData>
  <phoneticPr fontId="19"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99B57-8091-43FB-AC7C-6B48F112873F}">
  <dimension ref="A1:D298"/>
  <sheetViews>
    <sheetView topLeftCell="A157" zoomScale="55" zoomScaleNormal="52" workbookViewId="0">
      <selection activeCell="E82" sqref="E82"/>
    </sheetView>
  </sheetViews>
  <sheetFormatPr defaultRowHeight="14.5" x14ac:dyDescent="0.35"/>
  <cols>
    <col min="1" max="1" width="51.81640625" bestFit="1" customWidth="1"/>
    <col min="2" max="2" width="35.81640625" bestFit="1" customWidth="1"/>
    <col min="3" max="4" width="15.453125" bestFit="1" customWidth="1"/>
    <col min="5" max="5" width="10.36328125" bestFit="1" customWidth="1"/>
  </cols>
  <sheetData>
    <row r="1" spans="1:4" x14ac:dyDescent="0.35">
      <c r="A1" s="27" t="s">
        <v>4</v>
      </c>
      <c r="B1" t="s">
        <v>440</v>
      </c>
    </row>
    <row r="2" spans="1:4" x14ac:dyDescent="0.35">
      <c r="A2" t="s">
        <v>439</v>
      </c>
    </row>
    <row r="3" spans="1:4" x14ac:dyDescent="0.35">
      <c r="A3" s="27" t="s">
        <v>434</v>
      </c>
      <c r="B3" t="s">
        <v>438</v>
      </c>
      <c r="C3" t="s">
        <v>437</v>
      </c>
      <c r="D3" t="s">
        <v>436</v>
      </c>
    </row>
    <row r="4" spans="1:4" x14ac:dyDescent="0.35">
      <c r="A4" s="28" t="s">
        <v>351</v>
      </c>
      <c r="B4" s="6">
        <v>1620</v>
      </c>
      <c r="C4" s="34">
        <v>1</v>
      </c>
      <c r="D4" s="34">
        <v>5</v>
      </c>
    </row>
    <row r="5" spans="1:4" x14ac:dyDescent="0.35">
      <c r="A5" s="28" t="s">
        <v>343</v>
      </c>
      <c r="B5" s="6">
        <v>2025</v>
      </c>
      <c r="C5" s="34">
        <v>3</v>
      </c>
      <c r="D5" s="34">
        <v>5</v>
      </c>
    </row>
    <row r="6" spans="1:4" x14ac:dyDescent="0.35">
      <c r="A6" s="28" t="s">
        <v>378</v>
      </c>
      <c r="B6" s="6">
        <v>3640</v>
      </c>
      <c r="C6" s="34">
        <v>1</v>
      </c>
      <c r="D6" s="34">
        <v>5</v>
      </c>
    </row>
    <row r="7" spans="1:4" x14ac:dyDescent="0.35">
      <c r="A7" s="28" t="s">
        <v>56</v>
      </c>
      <c r="B7" s="6">
        <v>332</v>
      </c>
      <c r="C7" s="34">
        <v>2</v>
      </c>
      <c r="D7" s="34">
        <v>5</v>
      </c>
    </row>
    <row r="8" spans="1:4" x14ac:dyDescent="0.35">
      <c r="A8" s="28" t="s">
        <v>60</v>
      </c>
      <c r="B8" s="6">
        <v>195</v>
      </c>
      <c r="C8" s="34">
        <v>2</v>
      </c>
      <c r="D8" s="34">
        <v>5</v>
      </c>
    </row>
    <row r="9" spans="1:4" x14ac:dyDescent="0.35">
      <c r="A9" s="28" t="s">
        <v>120</v>
      </c>
      <c r="B9" s="6">
        <v>171</v>
      </c>
      <c r="C9" s="34">
        <v>2</v>
      </c>
      <c r="D9" s="34">
        <v>5</v>
      </c>
    </row>
    <row r="10" spans="1:4" x14ac:dyDescent="0.35">
      <c r="A10" s="28" t="s">
        <v>245</v>
      </c>
      <c r="B10" s="6">
        <v>979</v>
      </c>
      <c r="C10" s="34">
        <v>1</v>
      </c>
      <c r="D10" s="34">
        <v>5</v>
      </c>
    </row>
    <row r="11" spans="1:4" x14ac:dyDescent="0.35">
      <c r="A11" s="28" t="s">
        <v>339</v>
      </c>
      <c r="B11" s="6">
        <v>1274</v>
      </c>
      <c r="C11" s="34">
        <v>5</v>
      </c>
      <c r="D11" s="34">
        <v>4.8</v>
      </c>
    </row>
    <row r="12" spans="1:4" x14ac:dyDescent="0.35">
      <c r="A12" s="28" t="s">
        <v>22</v>
      </c>
      <c r="B12" s="6">
        <v>1740</v>
      </c>
      <c r="C12" s="34">
        <v>5</v>
      </c>
      <c r="D12" s="34">
        <v>4.8</v>
      </c>
    </row>
    <row r="13" spans="1:4" x14ac:dyDescent="0.35">
      <c r="A13" s="28" t="s">
        <v>341</v>
      </c>
      <c r="B13" s="6">
        <v>552</v>
      </c>
      <c r="C13" s="34">
        <v>12</v>
      </c>
      <c r="D13" s="34">
        <v>4.8</v>
      </c>
    </row>
    <row r="14" spans="1:4" x14ac:dyDescent="0.35">
      <c r="A14" s="28" t="s">
        <v>105</v>
      </c>
      <c r="B14" s="6">
        <v>980</v>
      </c>
      <c r="C14" s="34">
        <v>12</v>
      </c>
      <c r="D14" s="34">
        <v>4.7</v>
      </c>
    </row>
    <row r="15" spans="1:4" x14ac:dyDescent="0.35">
      <c r="A15" s="28" t="s">
        <v>111</v>
      </c>
      <c r="B15" s="6">
        <v>1940</v>
      </c>
      <c r="C15" s="34">
        <v>20</v>
      </c>
      <c r="D15" s="34">
        <v>4.7</v>
      </c>
    </row>
    <row r="16" spans="1:4" x14ac:dyDescent="0.35">
      <c r="A16" s="28" t="s">
        <v>44</v>
      </c>
      <c r="B16" s="6">
        <v>990</v>
      </c>
      <c r="C16" s="34">
        <v>39</v>
      </c>
      <c r="D16" s="34">
        <v>4.7</v>
      </c>
    </row>
    <row r="17" spans="1:4" x14ac:dyDescent="0.35">
      <c r="A17" s="28" t="s">
        <v>338</v>
      </c>
      <c r="B17" s="6">
        <v>1580</v>
      </c>
      <c r="C17" s="34">
        <v>7</v>
      </c>
      <c r="D17" s="34">
        <v>4.7</v>
      </c>
    </row>
    <row r="18" spans="1:4" x14ac:dyDescent="0.35">
      <c r="A18" s="28" t="s">
        <v>14</v>
      </c>
      <c r="B18" s="6">
        <v>2199</v>
      </c>
      <c r="C18" s="34">
        <v>24</v>
      </c>
      <c r="D18" s="34">
        <v>4.5999999999999996</v>
      </c>
    </row>
    <row r="19" spans="1:4" x14ac:dyDescent="0.35">
      <c r="A19" s="28" t="s">
        <v>30</v>
      </c>
      <c r="B19" s="6">
        <v>2319</v>
      </c>
      <c r="C19" s="34">
        <v>55</v>
      </c>
      <c r="D19" s="34">
        <v>4.5999999999999996</v>
      </c>
    </row>
    <row r="20" spans="1:4" x14ac:dyDescent="0.35">
      <c r="A20" s="28" t="s">
        <v>344</v>
      </c>
      <c r="B20" s="6">
        <v>2999</v>
      </c>
      <c r="C20" s="34">
        <v>5</v>
      </c>
      <c r="D20" s="34">
        <v>4.5999999999999996</v>
      </c>
    </row>
    <row r="21" spans="1:4" x14ac:dyDescent="0.35">
      <c r="A21" s="28" t="s">
        <v>345</v>
      </c>
      <c r="B21" s="6">
        <v>998</v>
      </c>
      <c r="C21" s="34">
        <v>44</v>
      </c>
      <c r="D21" s="34">
        <v>4.5999999999999996</v>
      </c>
    </row>
    <row r="22" spans="1:4" x14ac:dyDescent="0.35">
      <c r="A22" s="28" t="s">
        <v>89</v>
      </c>
      <c r="B22" s="6">
        <v>420</v>
      </c>
      <c r="C22" s="34">
        <v>49</v>
      </c>
      <c r="D22" s="34">
        <v>4.5999999999999996</v>
      </c>
    </row>
    <row r="23" spans="1:4" x14ac:dyDescent="0.35">
      <c r="A23" s="28" t="s">
        <v>114</v>
      </c>
      <c r="B23" s="6">
        <v>1980</v>
      </c>
      <c r="C23" s="34">
        <v>32</v>
      </c>
      <c r="D23" s="34">
        <v>4.5</v>
      </c>
    </row>
    <row r="24" spans="1:4" x14ac:dyDescent="0.35">
      <c r="A24" s="28" t="s">
        <v>342</v>
      </c>
      <c r="B24" s="6">
        <v>501</v>
      </c>
      <c r="C24" s="34">
        <v>6</v>
      </c>
      <c r="D24" s="34">
        <v>4.5</v>
      </c>
    </row>
    <row r="25" spans="1:4" x14ac:dyDescent="0.35">
      <c r="A25" s="28" t="s">
        <v>125</v>
      </c>
      <c r="B25" s="6">
        <v>1800</v>
      </c>
      <c r="C25" s="34">
        <v>2</v>
      </c>
      <c r="D25" s="34">
        <v>4.5</v>
      </c>
    </row>
    <row r="26" spans="1:4" x14ac:dyDescent="0.35">
      <c r="A26" s="28" t="s">
        <v>6</v>
      </c>
      <c r="B26" s="6">
        <v>950</v>
      </c>
      <c r="C26" s="34">
        <v>2</v>
      </c>
      <c r="D26" s="34">
        <v>4.5</v>
      </c>
    </row>
    <row r="27" spans="1:4" x14ac:dyDescent="0.35">
      <c r="A27" s="28" t="s">
        <v>81</v>
      </c>
      <c r="B27" s="6">
        <v>1650</v>
      </c>
      <c r="C27" s="34">
        <v>14</v>
      </c>
      <c r="D27" s="34">
        <v>4.4000000000000004</v>
      </c>
    </row>
    <row r="28" spans="1:4" x14ac:dyDescent="0.35">
      <c r="A28" s="28" t="s">
        <v>349</v>
      </c>
      <c r="B28" s="6">
        <v>2048</v>
      </c>
      <c r="C28" s="34">
        <v>7</v>
      </c>
      <c r="D28" s="34">
        <v>4.3</v>
      </c>
    </row>
    <row r="29" spans="1:4" x14ac:dyDescent="0.35">
      <c r="A29" s="28" t="s">
        <v>350</v>
      </c>
      <c r="B29" s="6">
        <v>1820</v>
      </c>
      <c r="C29" s="34">
        <v>9</v>
      </c>
      <c r="D29" s="34">
        <v>4.3</v>
      </c>
    </row>
    <row r="30" spans="1:4" x14ac:dyDescent="0.35">
      <c r="A30" s="28" t="s">
        <v>102</v>
      </c>
      <c r="B30" s="6">
        <v>185</v>
      </c>
      <c r="C30" s="34">
        <v>9</v>
      </c>
      <c r="D30" s="34">
        <v>4.3</v>
      </c>
    </row>
    <row r="31" spans="1:4" x14ac:dyDescent="0.35">
      <c r="A31" s="28" t="s">
        <v>352</v>
      </c>
      <c r="B31" s="6">
        <v>389</v>
      </c>
      <c r="C31" s="34">
        <v>36</v>
      </c>
      <c r="D31" s="34">
        <v>4.3</v>
      </c>
    </row>
    <row r="32" spans="1:4" x14ac:dyDescent="0.35">
      <c r="A32" s="28" t="s">
        <v>53</v>
      </c>
      <c r="B32" s="6">
        <v>1680</v>
      </c>
      <c r="C32" s="34">
        <v>9</v>
      </c>
      <c r="D32" s="34">
        <v>4.2</v>
      </c>
    </row>
    <row r="33" spans="1:4" x14ac:dyDescent="0.35">
      <c r="A33" s="28" t="s">
        <v>10</v>
      </c>
      <c r="B33" s="6">
        <v>527</v>
      </c>
      <c r="C33" s="34">
        <v>14</v>
      </c>
      <c r="D33" s="34">
        <v>4.0999999999999996</v>
      </c>
    </row>
    <row r="34" spans="1:4" x14ac:dyDescent="0.35">
      <c r="A34" s="28" t="s">
        <v>340</v>
      </c>
      <c r="B34" s="6">
        <v>799</v>
      </c>
      <c r="C34" s="34">
        <v>12</v>
      </c>
      <c r="D34" s="34">
        <v>4.0999999999999996</v>
      </c>
    </row>
    <row r="35" spans="1:4" x14ac:dyDescent="0.35">
      <c r="A35" s="28" t="s">
        <v>97</v>
      </c>
      <c r="B35" s="6">
        <v>1758</v>
      </c>
      <c r="C35" s="34">
        <v>20</v>
      </c>
      <c r="D35" s="34">
        <v>4.0999999999999996</v>
      </c>
    </row>
    <row r="36" spans="1:4" x14ac:dyDescent="0.35">
      <c r="A36" s="28" t="s">
        <v>33</v>
      </c>
      <c r="B36" s="6">
        <v>988</v>
      </c>
      <c r="C36" s="34">
        <v>2</v>
      </c>
      <c r="D36" s="34">
        <v>4</v>
      </c>
    </row>
    <row r="37" spans="1:4" x14ac:dyDescent="0.35">
      <c r="A37" s="28" t="s">
        <v>253</v>
      </c>
      <c r="B37" s="6">
        <v>330</v>
      </c>
      <c r="C37" s="34">
        <v>1</v>
      </c>
      <c r="D37" s="34">
        <v>4</v>
      </c>
    </row>
    <row r="38" spans="1:4" x14ac:dyDescent="0.35">
      <c r="A38" s="28" t="s">
        <v>348</v>
      </c>
      <c r="B38" s="6">
        <v>880</v>
      </c>
      <c r="C38" s="34">
        <v>6</v>
      </c>
      <c r="D38" s="34">
        <v>4</v>
      </c>
    </row>
    <row r="39" spans="1:4" x14ac:dyDescent="0.35">
      <c r="A39" s="28" t="s">
        <v>26</v>
      </c>
      <c r="B39" s="6">
        <v>2999</v>
      </c>
      <c r="C39" s="34">
        <v>15</v>
      </c>
      <c r="D39" s="34">
        <v>4</v>
      </c>
    </row>
    <row r="40" spans="1:4" x14ac:dyDescent="0.35">
      <c r="A40" s="28" t="s">
        <v>95</v>
      </c>
      <c r="B40" s="6">
        <v>1350</v>
      </c>
      <c r="C40" s="34">
        <v>13</v>
      </c>
      <c r="D40" s="34">
        <v>3.8</v>
      </c>
    </row>
    <row r="41" spans="1:4" x14ac:dyDescent="0.35">
      <c r="A41" s="28" t="s">
        <v>92</v>
      </c>
      <c r="B41" s="6">
        <v>2880</v>
      </c>
      <c r="C41" s="34">
        <v>12</v>
      </c>
      <c r="D41" s="34">
        <v>3.8</v>
      </c>
    </row>
    <row r="42" spans="1:4" x14ac:dyDescent="0.35">
      <c r="A42" s="28" t="s">
        <v>38</v>
      </c>
      <c r="B42" s="6">
        <v>1600</v>
      </c>
      <c r="C42" s="34">
        <v>5</v>
      </c>
      <c r="D42" s="34">
        <v>3.8</v>
      </c>
    </row>
    <row r="43" spans="1:4" x14ac:dyDescent="0.35">
      <c r="A43" s="28" t="s">
        <v>346</v>
      </c>
      <c r="B43" s="6">
        <v>38</v>
      </c>
      <c r="C43" s="34">
        <v>13</v>
      </c>
      <c r="D43" s="34">
        <v>3.3</v>
      </c>
    </row>
    <row r="44" spans="1:4" x14ac:dyDescent="0.35">
      <c r="A44" s="28" t="s">
        <v>365</v>
      </c>
      <c r="B44" s="6">
        <v>2300</v>
      </c>
      <c r="C44" s="34">
        <v>5</v>
      </c>
      <c r="D44" s="34">
        <v>3</v>
      </c>
    </row>
    <row r="45" spans="1:4" x14ac:dyDescent="0.35">
      <c r="A45" s="28" t="s">
        <v>359</v>
      </c>
      <c r="B45" s="6">
        <v>458</v>
      </c>
      <c r="C45" s="34">
        <v>10</v>
      </c>
      <c r="D45" s="34">
        <v>3</v>
      </c>
    </row>
    <row r="46" spans="1:4" x14ac:dyDescent="0.35">
      <c r="A46" s="28" t="s">
        <v>224</v>
      </c>
      <c r="B46" s="6">
        <v>509</v>
      </c>
      <c r="C46" s="34">
        <v>5</v>
      </c>
      <c r="D46" s="34">
        <v>3</v>
      </c>
    </row>
    <row r="47" spans="1:4" x14ac:dyDescent="0.35">
      <c r="A47" s="28" t="s">
        <v>371</v>
      </c>
      <c r="B47" s="6">
        <v>1189</v>
      </c>
      <c r="C47" s="34">
        <v>1</v>
      </c>
      <c r="D47" s="34">
        <v>3</v>
      </c>
    </row>
    <row r="48" spans="1:4" x14ac:dyDescent="0.35">
      <c r="A48" s="28" t="s">
        <v>364</v>
      </c>
      <c r="B48" s="6">
        <v>3750</v>
      </c>
      <c r="C48" s="34">
        <v>5</v>
      </c>
      <c r="D48" s="34">
        <v>3</v>
      </c>
    </row>
    <row r="49" spans="1:4" x14ac:dyDescent="0.35">
      <c r="A49" s="28" t="s">
        <v>362</v>
      </c>
      <c r="B49" s="6">
        <v>1220</v>
      </c>
      <c r="C49" s="34">
        <v>16</v>
      </c>
      <c r="D49" s="34">
        <v>2.9</v>
      </c>
    </row>
    <row r="50" spans="1:4" x14ac:dyDescent="0.35">
      <c r="A50" s="28" t="s">
        <v>194</v>
      </c>
      <c r="B50" s="6">
        <v>445</v>
      </c>
      <c r="C50" s="34">
        <v>69</v>
      </c>
      <c r="D50" s="34">
        <v>2.8</v>
      </c>
    </row>
    <row r="51" spans="1:4" x14ac:dyDescent="0.35">
      <c r="A51" s="28" t="s">
        <v>361</v>
      </c>
      <c r="B51" s="6">
        <v>325</v>
      </c>
      <c r="C51" s="34">
        <v>15</v>
      </c>
      <c r="D51" s="34">
        <v>2.7</v>
      </c>
    </row>
    <row r="52" spans="1:4" x14ac:dyDescent="0.35">
      <c r="A52" s="28" t="s">
        <v>215</v>
      </c>
      <c r="B52" s="6">
        <v>382</v>
      </c>
      <c r="C52" s="34">
        <v>17</v>
      </c>
      <c r="D52" s="34">
        <v>2.6</v>
      </c>
    </row>
    <row r="53" spans="1:4" x14ac:dyDescent="0.35">
      <c r="A53" s="28" t="s">
        <v>358</v>
      </c>
      <c r="B53" s="6">
        <v>2170</v>
      </c>
      <c r="C53" s="34">
        <v>6</v>
      </c>
      <c r="D53" s="34">
        <v>2.5</v>
      </c>
    </row>
    <row r="54" spans="1:4" x14ac:dyDescent="0.35">
      <c r="A54" s="28" t="s">
        <v>363</v>
      </c>
      <c r="B54" s="6">
        <v>1000</v>
      </c>
      <c r="C54" s="34">
        <v>7</v>
      </c>
      <c r="D54" s="34">
        <v>2.2999999999999998</v>
      </c>
    </row>
    <row r="55" spans="1:4" x14ac:dyDescent="0.35">
      <c r="A55" s="28" t="s">
        <v>221</v>
      </c>
      <c r="B55" s="6">
        <v>345</v>
      </c>
      <c r="C55" s="34">
        <v>6</v>
      </c>
      <c r="D55" s="34">
        <v>2.2999999999999998</v>
      </c>
    </row>
    <row r="56" spans="1:4" x14ac:dyDescent="0.35">
      <c r="A56" s="28" t="s">
        <v>366</v>
      </c>
      <c r="B56" s="6">
        <v>968</v>
      </c>
      <c r="C56" s="34">
        <v>6</v>
      </c>
      <c r="D56" s="34">
        <v>2.2000000000000002</v>
      </c>
    </row>
    <row r="57" spans="1:4" x14ac:dyDescent="0.35">
      <c r="A57" s="28" t="s">
        <v>206</v>
      </c>
      <c r="B57" s="6">
        <v>990</v>
      </c>
      <c r="C57" s="34">
        <v>6</v>
      </c>
      <c r="D57" s="34">
        <v>2.2000000000000002</v>
      </c>
    </row>
    <row r="58" spans="1:4" x14ac:dyDescent="0.35">
      <c r="A58" s="28" t="s">
        <v>367</v>
      </c>
      <c r="B58" s="6">
        <v>1570</v>
      </c>
      <c r="C58" s="34">
        <v>7</v>
      </c>
      <c r="D58" s="34">
        <v>2.1</v>
      </c>
    </row>
    <row r="59" spans="1:4" x14ac:dyDescent="0.35">
      <c r="A59" s="28" t="s">
        <v>360</v>
      </c>
      <c r="B59" s="6">
        <v>2115</v>
      </c>
      <c r="C59" s="34">
        <v>13</v>
      </c>
      <c r="D59" s="34">
        <v>2.1</v>
      </c>
    </row>
    <row r="60" spans="1:4" x14ac:dyDescent="0.35">
      <c r="A60" s="28" t="s">
        <v>384</v>
      </c>
      <c r="B60" s="6">
        <v>450</v>
      </c>
      <c r="C60" s="34">
        <v>1</v>
      </c>
      <c r="D60" s="34">
        <v>2</v>
      </c>
    </row>
    <row r="61" spans="1:4" x14ac:dyDescent="0.35">
      <c r="A61" s="28" t="s">
        <v>435</v>
      </c>
      <c r="B61" s="6">
        <v>74291</v>
      </c>
      <c r="C61" s="34">
        <v>723</v>
      </c>
      <c r="D61" s="34">
        <v>3.8894736842105266</v>
      </c>
    </row>
    <row r="63" spans="1:4" x14ac:dyDescent="0.35">
      <c r="A63" s="28" t="s">
        <v>441</v>
      </c>
    </row>
    <row r="65" spans="1:2" x14ac:dyDescent="0.35">
      <c r="A65" s="27" t="s">
        <v>4</v>
      </c>
      <c r="B65" t="s">
        <v>440</v>
      </c>
    </row>
    <row r="67" spans="1:2" x14ac:dyDescent="0.35">
      <c r="A67" s="27" t="s">
        <v>434</v>
      </c>
      <c r="B67" t="s">
        <v>436</v>
      </c>
    </row>
    <row r="68" spans="1:2" x14ac:dyDescent="0.35">
      <c r="A68" s="28" t="s">
        <v>384</v>
      </c>
      <c r="B68" s="34">
        <v>2</v>
      </c>
    </row>
    <row r="69" spans="1:2" x14ac:dyDescent="0.35">
      <c r="A69" s="28" t="s">
        <v>360</v>
      </c>
      <c r="B69" s="34">
        <v>2.1</v>
      </c>
    </row>
    <row r="70" spans="1:2" x14ac:dyDescent="0.35">
      <c r="A70" s="28" t="s">
        <v>367</v>
      </c>
      <c r="B70" s="34">
        <v>2.1</v>
      </c>
    </row>
    <row r="71" spans="1:2" x14ac:dyDescent="0.35">
      <c r="A71" s="28" t="s">
        <v>206</v>
      </c>
      <c r="B71" s="34">
        <v>2.2000000000000002</v>
      </c>
    </row>
    <row r="72" spans="1:2" x14ac:dyDescent="0.35">
      <c r="A72" s="28" t="s">
        <v>366</v>
      </c>
      <c r="B72" s="34">
        <v>2.2000000000000002</v>
      </c>
    </row>
    <row r="73" spans="1:2" x14ac:dyDescent="0.35">
      <c r="A73" s="28" t="s">
        <v>435</v>
      </c>
      <c r="B73" s="34">
        <v>2.12</v>
      </c>
    </row>
    <row r="75" spans="1:2" x14ac:dyDescent="0.35">
      <c r="A75" s="28" t="s">
        <v>442</v>
      </c>
    </row>
    <row r="79" spans="1:2" x14ac:dyDescent="0.35">
      <c r="A79" s="27" t="s">
        <v>434</v>
      </c>
      <c r="B79" t="s">
        <v>443</v>
      </c>
    </row>
    <row r="80" spans="1:2" x14ac:dyDescent="0.35">
      <c r="A80" s="28" t="s">
        <v>160</v>
      </c>
      <c r="B80" s="1">
        <v>0.61</v>
      </c>
    </row>
    <row r="81" spans="1:2" x14ac:dyDescent="0.35">
      <c r="A81" s="28" t="s">
        <v>359</v>
      </c>
      <c r="B81" s="1">
        <v>0.55000000000000004</v>
      </c>
    </row>
    <row r="82" spans="1:2" x14ac:dyDescent="0.35">
      <c r="A82" s="28" t="s">
        <v>339</v>
      </c>
      <c r="B82" s="1">
        <v>0.55000000000000004</v>
      </c>
    </row>
    <row r="83" spans="1:2" x14ac:dyDescent="0.35">
      <c r="A83" s="28" t="s">
        <v>361</v>
      </c>
      <c r="B83" s="1">
        <v>0.55000000000000004</v>
      </c>
    </row>
    <row r="84" spans="1:2" x14ac:dyDescent="0.35">
      <c r="A84" s="28" t="s">
        <v>349</v>
      </c>
      <c r="B84" s="1">
        <v>0.54</v>
      </c>
    </row>
    <row r="85" spans="1:2" x14ac:dyDescent="0.35">
      <c r="A85" s="28" t="s">
        <v>194</v>
      </c>
      <c r="B85" s="1">
        <v>0.54</v>
      </c>
    </row>
    <row r="86" spans="1:2" x14ac:dyDescent="0.35">
      <c r="A86" s="28" t="s">
        <v>120</v>
      </c>
      <c r="B86" s="1">
        <v>0.53</v>
      </c>
    </row>
    <row r="87" spans="1:2" x14ac:dyDescent="0.35">
      <c r="A87" s="28" t="s">
        <v>346</v>
      </c>
      <c r="B87" s="1">
        <v>0.53</v>
      </c>
    </row>
    <row r="88" spans="1:2" x14ac:dyDescent="0.35">
      <c r="A88" s="28" t="s">
        <v>206</v>
      </c>
      <c r="B88" s="1">
        <v>0.52</v>
      </c>
    </row>
    <row r="89" spans="1:2" x14ac:dyDescent="0.35">
      <c r="A89" s="28" t="s">
        <v>102</v>
      </c>
      <c r="B89" s="1">
        <v>0.52</v>
      </c>
    </row>
    <row r="90" spans="1:2" x14ac:dyDescent="0.35">
      <c r="A90" s="28" t="s">
        <v>435</v>
      </c>
      <c r="B90" s="1">
        <v>0.54400000000000004</v>
      </c>
    </row>
    <row r="92" spans="1:2" x14ac:dyDescent="0.35">
      <c r="A92" s="28" t="s">
        <v>463</v>
      </c>
    </row>
    <row r="95" spans="1:2" x14ac:dyDescent="0.35">
      <c r="A95" s="27" t="s">
        <v>434</v>
      </c>
      <c r="B95" t="s">
        <v>437</v>
      </c>
    </row>
    <row r="96" spans="1:2" x14ac:dyDescent="0.35">
      <c r="A96" s="28" t="s">
        <v>194</v>
      </c>
      <c r="B96" s="34">
        <v>69</v>
      </c>
    </row>
    <row r="97" spans="1:2" x14ac:dyDescent="0.35">
      <c r="A97" s="28" t="s">
        <v>30</v>
      </c>
      <c r="B97" s="34">
        <v>55</v>
      </c>
    </row>
    <row r="98" spans="1:2" x14ac:dyDescent="0.35">
      <c r="A98" s="28" t="s">
        <v>89</v>
      </c>
      <c r="B98" s="34">
        <v>49</v>
      </c>
    </row>
    <row r="99" spans="1:2" x14ac:dyDescent="0.35">
      <c r="A99" s="28" t="s">
        <v>345</v>
      </c>
      <c r="B99" s="34">
        <v>44</v>
      </c>
    </row>
    <row r="100" spans="1:2" x14ac:dyDescent="0.35">
      <c r="A100" s="28" t="s">
        <v>44</v>
      </c>
      <c r="B100" s="34">
        <v>39</v>
      </c>
    </row>
    <row r="101" spans="1:2" x14ac:dyDescent="0.35">
      <c r="A101" s="28" t="s">
        <v>352</v>
      </c>
      <c r="B101" s="34">
        <v>36</v>
      </c>
    </row>
    <row r="102" spans="1:2" x14ac:dyDescent="0.35">
      <c r="A102" s="28" t="s">
        <v>114</v>
      </c>
      <c r="B102" s="34">
        <v>32</v>
      </c>
    </row>
    <row r="103" spans="1:2" x14ac:dyDescent="0.35">
      <c r="A103" s="28" t="s">
        <v>14</v>
      </c>
      <c r="B103" s="34">
        <v>24</v>
      </c>
    </row>
    <row r="104" spans="1:2" x14ac:dyDescent="0.35">
      <c r="A104" s="28" t="s">
        <v>111</v>
      </c>
      <c r="B104" s="34">
        <v>20</v>
      </c>
    </row>
    <row r="105" spans="1:2" x14ac:dyDescent="0.35">
      <c r="A105" s="28" t="s">
        <v>97</v>
      </c>
      <c r="B105" s="34">
        <v>20</v>
      </c>
    </row>
    <row r="106" spans="1:2" x14ac:dyDescent="0.35">
      <c r="A106" s="28" t="s">
        <v>435</v>
      </c>
      <c r="B106" s="34">
        <v>388</v>
      </c>
    </row>
    <row r="111" spans="1:2" x14ac:dyDescent="0.35">
      <c r="A111" t="s">
        <v>444</v>
      </c>
    </row>
    <row r="113" spans="1:2" x14ac:dyDescent="0.35">
      <c r="A113" s="27" t="s">
        <v>434</v>
      </c>
      <c r="B113" t="s">
        <v>436</v>
      </c>
    </row>
    <row r="114" spans="1:2" x14ac:dyDescent="0.35">
      <c r="A114" s="28" t="s">
        <v>120</v>
      </c>
      <c r="B114" s="34">
        <v>5</v>
      </c>
    </row>
    <row r="115" spans="1:2" x14ac:dyDescent="0.35">
      <c r="A115" s="28" t="s">
        <v>343</v>
      </c>
      <c r="B115" s="34">
        <v>5</v>
      </c>
    </row>
    <row r="116" spans="1:2" x14ac:dyDescent="0.35">
      <c r="A116" s="28" t="s">
        <v>378</v>
      </c>
      <c r="B116" s="34">
        <v>5</v>
      </c>
    </row>
    <row r="117" spans="1:2" x14ac:dyDescent="0.35">
      <c r="A117" s="28" t="s">
        <v>56</v>
      </c>
      <c r="B117" s="34">
        <v>5</v>
      </c>
    </row>
    <row r="118" spans="1:2" x14ac:dyDescent="0.35">
      <c r="A118" s="28" t="s">
        <v>60</v>
      </c>
      <c r="B118" s="34">
        <v>5</v>
      </c>
    </row>
    <row r="119" spans="1:2" x14ac:dyDescent="0.35">
      <c r="A119" s="28" t="s">
        <v>245</v>
      </c>
      <c r="B119" s="34">
        <v>5</v>
      </c>
    </row>
    <row r="120" spans="1:2" x14ac:dyDescent="0.35">
      <c r="A120" s="28" t="s">
        <v>351</v>
      </c>
      <c r="B120" s="34">
        <v>5</v>
      </c>
    </row>
    <row r="121" spans="1:2" x14ac:dyDescent="0.35">
      <c r="A121" s="28" t="s">
        <v>339</v>
      </c>
      <c r="B121" s="34">
        <v>4.8</v>
      </c>
    </row>
    <row r="122" spans="1:2" x14ac:dyDescent="0.35">
      <c r="A122" s="28" t="s">
        <v>22</v>
      </c>
      <c r="B122" s="34">
        <v>4.8</v>
      </c>
    </row>
    <row r="123" spans="1:2" x14ac:dyDescent="0.35">
      <c r="A123" s="28" t="s">
        <v>341</v>
      </c>
      <c r="B123" s="34">
        <v>4.8</v>
      </c>
    </row>
    <row r="124" spans="1:2" x14ac:dyDescent="0.35">
      <c r="A124" s="28" t="s">
        <v>435</v>
      </c>
      <c r="B124" s="34">
        <v>4.9399999999999995</v>
      </c>
    </row>
    <row r="128" spans="1:2" x14ac:dyDescent="0.35">
      <c r="A128" t="s">
        <v>445</v>
      </c>
    </row>
    <row r="129" spans="1:3" x14ac:dyDescent="0.35">
      <c r="A129" s="27" t="s">
        <v>406</v>
      </c>
      <c r="B129" t="s">
        <v>446</v>
      </c>
    </row>
    <row r="131" spans="1:3" x14ac:dyDescent="0.35">
      <c r="A131" s="27" t="s">
        <v>434</v>
      </c>
      <c r="B131" t="s">
        <v>443</v>
      </c>
      <c r="C131" t="s">
        <v>436</v>
      </c>
    </row>
    <row r="132" spans="1:3" x14ac:dyDescent="0.35">
      <c r="A132" s="28" t="s">
        <v>194</v>
      </c>
      <c r="B132" s="1">
        <v>0.54</v>
      </c>
      <c r="C132" s="34">
        <v>2.8</v>
      </c>
    </row>
    <row r="133" spans="1:3" x14ac:dyDescent="0.35">
      <c r="A133" s="28" t="s">
        <v>366</v>
      </c>
      <c r="B133" s="1">
        <v>0.43</v>
      </c>
      <c r="C133" s="34">
        <v>2.2000000000000002</v>
      </c>
    </row>
    <row r="134" spans="1:3" x14ac:dyDescent="0.35">
      <c r="A134" s="28" t="s">
        <v>215</v>
      </c>
      <c r="B134" s="1">
        <v>0.5</v>
      </c>
      <c r="C134" s="34">
        <v>2.6</v>
      </c>
    </row>
    <row r="135" spans="1:3" x14ac:dyDescent="0.35">
      <c r="A135" s="28" t="s">
        <v>206</v>
      </c>
      <c r="B135" s="1">
        <v>0.52</v>
      </c>
      <c r="C135" s="34">
        <v>2.2000000000000002</v>
      </c>
    </row>
    <row r="136" spans="1:3" x14ac:dyDescent="0.35">
      <c r="A136" s="28" t="s">
        <v>367</v>
      </c>
      <c r="B136" s="1">
        <v>0.43</v>
      </c>
      <c r="C136" s="34">
        <v>2.1</v>
      </c>
    </row>
    <row r="137" spans="1:3" x14ac:dyDescent="0.35">
      <c r="A137" s="28" t="s">
        <v>361</v>
      </c>
      <c r="B137" s="1">
        <v>0.55000000000000004</v>
      </c>
      <c r="C137" s="34">
        <v>2.7</v>
      </c>
    </row>
    <row r="138" spans="1:3" x14ac:dyDescent="0.35">
      <c r="A138" s="28" t="s">
        <v>362</v>
      </c>
      <c r="B138" s="1">
        <v>0.49</v>
      </c>
      <c r="C138" s="34">
        <v>2.9</v>
      </c>
    </row>
    <row r="139" spans="1:3" x14ac:dyDescent="0.35">
      <c r="A139" s="28" t="s">
        <v>221</v>
      </c>
      <c r="B139" s="1">
        <v>0.45</v>
      </c>
      <c r="C139" s="34">
        <v>2.2999999999999998</v>
      </c>
    </row>
    <row r="140" spans="1:3" x14ac:dyDescent="0.35">
      <c r="A140" s="28" t="s">
        <v>435</v>
      </c>
      <c r="B140" s="1">
        <v>0.48875000000000002</v>
      </c>
      <c r="C140" s="34">
        <v>2.4750000000000001</v>
      </c>
    </row>
    <row r="143" spans="1:3" x14ac:dyDescent="0.35">
      <c r="A143" s="28" t="s">
        <v>447</v>
      </c>
    </row>
    <row r="144" spans="1:3" x14ac:dyDescent="0.35">
      <c r="A144" s="27" t="s">
        <v>410</v>
      </c>
      <c r="B144" t="s">
        <v>448</v>
      </c>
    </row>
    <row r="146" spans="1:3" x14ac:dyDescent="0.35">
      <c r="A146" s="27" t="s">
        <v>434</v>
      </c>
      <c r="B146" t="s">
        <v>443</v>
      </c>
      <c r="C146" t="s">
        <v>437</v>
      </c>
    </row>
    <row r="147" spans="1:3" x14ac:dyDescent="0.35">
      <c r="A147" s="28" t="s">
        <v>38</v>
      </c>
      <c r="B147" s="1">
        <v>0.45</v>
      </c>
      <c r="C147" s="34">
        <v>5</v>
      </c>
    </row>
    <row r="148" spans="1:3" x14ac:dyDescent="0.35">
      <c r="A148" s="28" t="s">
        <v>364</v>
      </c>
      <c r="B148" s="1">
        <v>0.45</v>
      </c>
      <c r="C148" s="34">
        <v>5</v>
      </c>
    </row>
    <row r="149" spans="1:3" x14ac:dyDescent="0.35">
      <c r="A149" s="28" t="s">
        <v>346</v>
      </c>
      <c r="B149" s="1">
        <v>0.53</v>
      </c>
      <c r="C149" s="34">
        <v>13</v>
      </c>
    </row>
    <row r="150" spans="1:3" x14ac:dyDescent="0.35">
      <c r="A150" s="28" t="s">
        <v>341</v>
      </c>
      <c r="B150" s="1">
        <v>0.47</v>
      </c>
      <c r="C150" s="34">
        <v>12</v>
      </c>
    </row>
    <row r="151" spans="1:3" x14ac:dyDescent="0.35">
      <c r="A151" s="28" t="s">
        <v>366</v>
      </c>
      <c r="B151" s="1">
        <v>0.43</v>
      </c>
      <c r="C151" s="34">
        <v>6</v>
      </c>
    </row>
    <row r="152" spans="1:3" x14ac:dyDescent="0.35">
      <c r="A152" s="28" t="s">
        <v>56</v>
      </c>
      <c r="B152" s="1">
        <v>0.51</v>
      </c>
      <c r="C152" s="34">
        <v>2</v>
      </c>
    </row>
    <row r="153" spans="1:3" x14ac:dyDescent="0.35">
      <c r="A153" s="28" t="s">
        <v>206</v>
      </c>
      <c r="B153" s="1">
        <v>0.52</v>
      </c>
      <c r="C153" s="34">
        <v>6</v>
      </c>
    </row>
    <row r="154" spans="1:3" x14ac:dyDescent="0.35">
      <c r="A154" s="28" t="s">
        <v>245</v>
      </c>
      <c r="B154" s="1">
        <v>0.49</v>
      </c>
      <c r="C154" s="34">
        <v>1</v>
      </c>
    </row>
    <row r="155" spans="1:3" x14ac:dyDescent="0.35">
      <c r="A155" s="28" t="s">
        <v>120</v>
      </c>
      <c r="B155" s="1">
        <v>0.53</v>
      </c>
      <c r="C155" s="34">
        <v>2</v>
      </c>
    </row>
    <row r="156" spans="1:3" x14ac:dyDescent="0.35">
      <c r="A156" s="28" t="s">
        <v>351</v>
      </c>
      <c r="B156" s="1">
        <v>0.4</v>
      </c>
      <c r="C156" s="34">
        <v>1</v>
      </c>
    </row>
    <row r="157" spans="1:3" x14ac:dyDescent="0.35">
      <c r="A157" s="28" t="s">
        <v>367</v>
      </c>
      <c r="B157" s="1">
        <v>0.43</v>
      </c>
      <c r="C157" s="34">
        <v>7</v>
      </c>
    </row>
    <row r="158" spans="1:3" x14ac:dyDescent="0.35">
      <c r="A158" s="28" t="s">
        <v>102</v>
      </c>
      <c r="B158" s="1">
        <v>0.52</v>
      </c>
      <c r="C158" s="34">
        <v>9</v>
      </c>
    </row>
    <row r="159" spans="1:3" x14ac:dyDescent="0.35">
      <c r="A159" s="28" t="s">
        <v>349</v>
      </c>
      <c r="B159" s="1">
        <v>0.54</v>
      </c>
      <c r="C159" s="34">
        <v>7</v>
      </c>
    </row>
    <row r="160" spans="1:3" x14ac:dyDescent="0.35">
      <c r="A160" s="28" t="s">
        <v>343</v>
      </c>
      <c r="B160" s="1">
        <v>0.49</v>
      </c>
      <c r="C160" s="34">
        <v>3</v>
      </c>
    </row>
    <row r="161" spans="1:3" x14ac:dyDescent="0.35">
      <c r="A161" s="28" t="s">
        <v>342</v>
      </c>
      <c r="B161" s="1">
        <v>0.42</v>
      </c>
      <c r="C161" s="34">
        <v>6</v>
      </c>
    </row>
    <row r="162" spans="1:3" x14ac:dyDescent="0.35">
      <c r="A162" s="28" t="s">
        <v>339</v>
      </c>
      <c r="B162" s="1">
        <v>0.55000000000000004</v>
      </c>
      <c r="C162" s="34">
        <v>5</v>
      </c>
    </row>
    <row r="163" spans="1:3" x14ac:dyDescent="0.35">
      <c r="A163" s="28" t="s">
        <v>350</v>
      </c>
      <c r="B163" s="1">
        <v>0.48</v>
      </c>
      <c r="C163" s="34">
        <v>9</v>
      </c>
    </row>
    <row r="164" spans="1:3" x14ac:dyDescent="0.35">
      <c r="A164" s="28" t="s">
        <v>10</v>
      </c>
      <c r="B164" s="1">
        <v>0.47</v>
      </c>
      <c r="C164" s="34">
        <v>14</v>
      </c>
    </row>
    <row r="165" spans="1:3" x14ac:dyDescent="0.35">
      <c r="A165" s="28" t="s">
        <v>359</v>
      </c>
      <c r="B165" s="1">
        <v>0.55000000000000004</v>
      </c>
      <c r="C165" s="34">
        <v>10</v>
      </c>
    </row>
    <row r="166" spans="1:3" x14ac:dyDescent="0.35">
      <c r="A166" s="28" t="s">
        <v>60</v>
      </c>
      <c r="B166" s="1">
        <v>0.46</v>
      </c>
      <c r="C166" s="34">
        <v>2</v>
      </c>
    </row>
    <row r="167" spans="1:3" x14ac:dyDescent="0.35">
      <c r="A167" s="28" t="s">
        <v>221</v>
      </c>
      <c r="B167" s="1">
        <v>0.45</v>
      </c>
      <c r="C167" s="34">
        <v>6</v>
      </c>
    </row>
    <row r="168" spans="1:3" x14ac:dyDescent="0.35">
      <c r="A168" s="28" t="s">
        <v>435</v>
      </c>
      <c r="B168" s="1">
        <v>0.48285714285714298</v>
      </c>
      <c r="C168" s="34">
        <v>131</v>
      </c>
    </row>
    <row r="171" spans="1:3" x14ac:dyDescent="0.35">
      <c r="A171" s="28" t="s">
        <v>449</v>
      </c>
    </row>
    <row r="172" spans="1:3" x14ac:dyDescent="0.35">
      <c r="A172" s="27" t="s">
        <v>411</v>
      </c>
      <c r="B172" t="s">
        <v>450</v>
      </c>
    </row>
    <row r="174" spans="1:3" x14ac:dyDescent="0.35">
      <c r="A174" s="27" t="s">
        <v>434</v>
      </c>
      <c r="B174" t="s">
        <v>437</v>
      </c>
      <c r="C174" t="s">
        <v>436</v>
      </c>
    </row>
    <row r="175" spans="1:3" x14ac:dyDescent="0.35">
      <c r="A175" s="28" t="s">
        <v>26</v>
      </c>
      <c r="B175" s="34">
        <v>15</v>
      </c>
      <c r="C175" s="34">
        <v>4</v>
      </c>
    </row>
    <row r="176" spans="1:3" x14ac:dyDescent="0.35">
      <c r="A176" s="28" t="s">
        <v>97</v>
      </c>
      <c r="B176" s="34">
        <v>20</v>
      </c>
      <c r="C176" s="34">
        <v>4.0999999999999996</v>
      </c>
    </row>
    <row r="177" spans="1:3" x14ac:dyDescent="0.35">
      <c r="A177" s="28" t="s">
        <v>114</v>
      </c>
      <c r="B177" s="34">
        <v>32</v>
      </c>
      <c r="C177" s="34">
        <v>4.5</v>
      </c>
    </row>
    <row r="178" spans="1:3" x14ac:dyDescent="0.35">
      <c r="A178" s="28" t="s">
        <v>352</v>
      </c>
      <c r="B178" s="34">
        <v>36</v>
      </c>
      <c r="C178" s="34">
        <v>4.3</v>
      </c>
    </row>
    <row r="179" spans="1:3" x14ac:dyDescent="0.35">
      <c r="A179" s="28" t="s">
        <v>435</v>
      </c>
      <c r="B179" s="34">
        <v>103</v>
      </c>
      <c r="C179" s="34">
        <v>4.2249999999999996</v>
      </c>
    </row>
    <row r="182" spans="1:3" x14ac:dyDescent="0.35">
      <c r="A182" s="28" t="s">
        <v>452</v>
      </c>
    </row>
    <row r="183" spans="1:3" x14ac:dyDescent="0.35">
      <c r="A183" s="27" t="s">
        <v>407</v>
      </c>
      <c r="B183" t="s">
        <v>453</v>
      </c>
    </row>
    <row r="185" spans="1:3" x14ac:dyDescent="0.35">
      <c r="A185" s="27" t="s">
        <v>434</v>
      </c>
      <c r="B185" t="s">
        <v>437</v>
      </c>
      <c r="C185" t="s">
        <v>436</v>
      </c>
    </row>
    <row r="186" spans="1:3" x14ac:dyDescent="0.35">
      <c r="A186" s="28" t="s">
        <v>44</v>
      </c>
      <c r="B186" s="34">
        <v>39</v>
      </c>
      <c r="C186" s="34">
        <v>4.7</v>
      </c>
    </row>
    <row r="187" spans="1:3" x14ac:dyDescent="0.35">
      <c r="A187" s="28" t="s">
        <v>30</v>
      </c>
      <c r="B187" s="34">
        <v>55</v>
      </c>
      <c r="C187" s="34">
        <v>4.5999999999999996</v>
      </c>
    </row>
    <row r="188" spans="1:3" x14ac:dyDescent="0.35">
      <c r="A188" s="28" t="s">
        <v>345</v>
      </c>
      <c r="B188" s="34">
        <v>44</v>
      </c>
      <c r="C188" s="34">
        <v>4.5999999999999996</v>
      </c>
    </row>
    <row r="189" spans="1:3" x14ac:dyDescent="0.35">
      <c r="A189" s="28" t="s">
        <v>111</v>
      </c>
      <c r="B189" s="34">
        <v>20</v>
      </c>
      <c r="C189" s="34">
        <v>4.7</v>
      </c>
    </row>
    <row r="190" spans="1:3" x14ac:dyDescent="0.35">
      <c r="A190" s="28" t="s">
        <v>89</v>
      </c>
      <c r="B190" s="34">
        <v>49</v>
      </c>
      <c r="C190" s="34">
        <v>4.5999999999999996</v>
      </c>
    </row>
    <row r="191" spans="1:3" x14ac:dyDescent="0.35">
      <c r="A191" s="28" t="s">
        <v>14</v>
      </c>
      <c r="B191" s="34">
        <v>24</v>
      </c>
      <c r="C191" s="34">
        <v>4.5999999999999996</v>
      </c>
    </row>
    <row r="192" spans="1:3" x14ac:dyDescent="0.35">
      <c r="A192" s="28" t="s">
        <v>435</v>
      </c>
      <c r="B192" s="34">
        <v>231</v>
      </c>
      <c r="C192" s="34">
        <v>4.6333333333333337</v>
      </c>
    </row>
    <row r="194" spans="1:2" x14ac:dyDescent="0.35">
      <c r="A194" s="28" t="s">
        <v>456</v>
      </c>
    </row>
    <row r="196" spans="1:2" x14ac:dyDescent="0.35">
      <c r="A196" s="27" t="s">
        <v>434</v>
      </c>
      <c r="B196" t="s">
        <v>454</v>
      </c>
    </row>
    <row r="197" spans="1:2" x14ac:dyDescent="0.35">
      <c r="A197" s="28">
        <v>2</v>
      </c>
      <c r="B197" s="34">
        <v>1</v>
      </c>
    </row>
    <row r="198" spans="1:2" x14ac:dyDescent="0.35">
      <c r="A198" s="28">
        <v>2.1</v>
      </c>
      <c r="B198" s="34">
        <v>2</v>
      </c>
    </row>
    <row r="199" spans="1:2" x14ac:dyDescent="0.35">
      <c r="A199" s="28">
        <v>2.2000000000000002</v>
      </c>
      <c r="B199" s="34">
        <v>2</v>
      </c>
    </row>
    <row r="200" spans="1:2" x14ac:dyDescent="0.35">
      <c r="A200" s="28">
        <v>2.2999999999999998</v>
      </c>
      <c r="B200" s="34">
        <v>2</v>
      </c>
    </row>
    <row r="201" spans="1:2" x14ac:dyDescent="0.35">
      <c r="A201" s="28">
        <v>2.5</v>
      </c>
      <c r="B201" s="34">
        <v>1</v>
      </c>
    </row>
    <row r="202" spans="1:2" x14ac:dyDescent="0.35">
      <c r="A202" s="28">
        <v>2.6</v>
      </c>
      <c r="B202" s="34">
        <v>1</v>
      </c>
    </row>
    <row r="203" spans="1:2" x14ac:dyDescent="0.35">
      <c r="A203" s="28">
        <v>2.7</v>
      </c>
      <c r="B203" s="34">
        <v>1</v>
      </c>
    </row>
    <row r="204" spans="1:2" x14ac:dyDescent="0.35">
      <c r="A204" s="28">
        <v>2.8</v>
      </c>
      <c r="B204" s="34">
        <v>1</v>
      </c>
    </row>
    <row r="205" spans="1:2" x14ac:dyDescent="0.35">
      <c r="A205" s="28">
        <v>2.9</v>
      </c>
      <c r="B205" s="34">
        <v>1</v>
      </c>
    </row>
    <row r="206" spans="1:2" x14ac:dyDescent="0.35">
      <c r="A206" s="28">
        <v>3</v>
      </c>
      <c r="B206" s="34">
        <v>5</v>
      </c>
    </row>
    <row r="207" spans="1:2" x14ac:dyDescent="0.35">
      <c r="A207" s="28">
        <v>3.3</v>
      </c>
      <c r="B207" s="34">
        <v>1</v>
      </c>
    </row>
    <row r="208" spans="1:2" x14ac:dyDescent="0.35">
      <c r="A208" s="28">
        <v>3.8</v>
      </c>
      <c r="B208" s="34">
        <v>3</v>
      </c>
    </row>
    <row r="209" spans="1:2" x14ac:dyDescent="0.35">
      <c r="A209" s="28">
        <v>4</v>
      </c>
      <c r="B209" s="34">
        <v>4</v>
      </c>
    </row>
    <row r="210" spans="1:2" x14ac:dyDescent="0.35">
      <c r="A210" s="28">
        <v>4.0999999999999996</v>
      </c>
      <c r="B210" s="34">
        <v>3</v>
      </c>
    </row>
    <row r="211" spans="1:2" x14ac:dyDescent="0.35">
      <c r="A211" s="28">
        <v>4.2</v>
      </c>
      <c r="B211" s="34">
        <v>1</v>
      </c>
    </row>
    <row r="212" spans="1:2" x14ac:dyDescent="0.35">
      <c r="A212" s="28">
        <v>4.3</v>
      </c>
      <c r="B212" s="34">
        <v>4</v>
      </c>
    </row>
    <row r="213" spans="1:2" x14ac:dyDescent="0.35">
      <c r="A213" s="28">
        <v>4.4000000000000004</v>
      </c>
      <c r="B213" s="34">
        <v>1</v>
      </c>
    </row>
    <row r="214" spans="1:2" x14ac:dyDescent="0.35">
      <c r="A214" s="28">
        <v>4.5</v>
      </c>
      <c r="B214" s="34">
        <v>4</v>
      </c>
    </row>
    <row r="215" spans="1:2" x14ac:dyDescent="0.35">
      <c r="A215" s="28">
        <v>4.5999999999999996</v>
      </c>
      <c r="B215" s="34">
        <v>5</v>
      </c>
    </row>
    <row r="216" spans="1:2" x14ac:dyDescent="0.35">
      <c r="A216" s="28">
        <v>4.7</v>
      </c>
      <c r="B216" s="34">
        <v>4</v>
      </c>
    </row>
    <row r="217" spans="1:2" x14ac:dyDescent="0.35">
      <c r="A217" s="28">
        <v>4.8</v>
      </c>
      <c r="B217" s="34">
        <v>3</v>
      </c>
    </row>
    <row r="218" spans="1:2" x14ac:dyDescent="0.35">
      <c r="A218" s="28">
        <v>5</v>
      </c>
      <c r="B218" s="34">
        <v>7</v>
      </c>
    </row>
    <row r="219" spans="1:2" x14ac:dyDescent="0.35">
      <c r="A219" s="28" t="s">
        <v>455</v>
      </c>
      <c r="B219" s="34">
        <v>55</v>
      </c>
    </row>
    <row r="220" spans="1:2" x14ac:dyDescent="0.35">
      <c r="A220" s="28" t="s">
        <v>435</v>
      </c>
      <c r="B220" s="34">
        <v>112</v>
      </c>
    </row>
    <row r="222" spans="1:2" x14ac:dyDescent="0.35">
      <c r="A222" t="s">
        <v>457</v>
      </c>
    </row>
    <row r="224" spans="1:2" x14ac:dyDescent="0.35">
      <c r="A224" s="27" t="s">
        <v>434</v>
      </c>
      <c r="B224" t="s">
        <v>454</v>
      </c>
    </row>
    <row r="225" spans="1:2" x14ac:dyDescent="0.35">
      <c r="A225" s="30">
        <v>0.01</v>
      </c>
      <c r="B225" s="34">
        <v>1</v>
      </c>
    </row>
    <row r="226" spans="1:2" x14ac:dyDescent="0.35">
      <c r="A226" s="30">
        <v>0.02</v>
      </c>
      <c r="B226" s="34">
        <v>6</v>
      </c>
    </row>
    <row r="227" spans="1:2" x14ac:dyDescent="0.35">
      <c r="A227" s="30">
        <v>0.03</v>
      </c>
      <c r="B227" s="34">
        <v>1</v>
      </c>
    </row>
    <row r="228" spans="1:2" x14ac:dyDescent="0.35">
      <c r="A228" s="30">
        <v>0.04</v>
      </c>
      <c r="B228" s="34">
        <v>2</v>
      </c>
    </row>
    <row r="229" spans="1:2" x14ac:dyDescent="0.35">
      <c r="A229" s="30">
        <v>0.08</v>
      </c>
      <c r="B229" s="34">
        <v>1</v>
      </c>
    </row>
    <row r="230" spans="1:2" x14ac:dyDescent="0.35">
      <c r="A230" s="30">
        <v>0.09</v>
      </c>
      <c r="B230" s="34">
        <v>1</v>
      </c>
    </row>
    <row r="231" spans="1:2" x14ac:dyDescent="0.35">
      <c r="A231" s="30">
        <v>0.11</v>
      </c>
      <c r="B231" s="34">
        <v>1</v>
      </c>
    </row>
    <row r="232" spans="1:2" x14ac:dyDescent="0.35">
      <c r="A232" s="30">
        <v>0.13</v>
      </c>
      <c r="B232" s="34">
        <v>1</v>
      </c>
    </row>
    <row r="233" spans="1:2" x14ac:dyDescent="0.35">
      <c r="A233" s="30">
        <v>0.14000000000000001</v>
      </c>
      <c r="B233" s="34">
        <v>2</v>
      </c>
    </row>
    <row r="234" spans="1:2" x14ac:dyDescent="0.35">
      <c r="A234" s="30">
        <v>0.18</v>
      </c>
      <c r="B234" s="34">
        <v>1</v>
      </c>
    </row>
    <row r="235" spans="1:2" x14ac:dyDescent="0.35">
      <c r="A235" s="30">
        <v>0.19</v>
      </c>
      <c r="B235" s="34">
        <v>1</v>
      </c>
    </row>
    <row r="236" spans="1:2" x14ac:dyDescent="0.35">
      <c r="A236" s="30">
        <v>0.2</v>
      </c>
      <c r="B236" s="34">
        <v>1</v>
      </c>
    </row>
    <row r="237" spans="1:2" x14ac:dyDescent="0.35">
      <c r="A237" s="30">
        <v>0.21</v>
      </c>
      <c r="B237" s="34">
        <v>1</v>
      </c>
    </row>
    <row r="238" spans="1:2" x14ac:dyDescent="0.35">
      <c r="A238" s="30">
        <v>0.22</v>
      </c>
      <c r="B238" s="34">
        <v>2</v>
      </c>
    </row>
    <row r="239" spans="1:2" x14ac:dyDescent="0.35">
      <c r="A239" s="30">
        <v>0.23</v>
      </c>
      <c r="B239" s="34">
        <v>1</v>
      </c>
    </row>
    <row r="240" spans="1:2" x14ac:dyDescent="0.35">
      <c r="A240" s="30">
        <v>0.24</v>
      </c>
      <c r="B240" s="34">
        <v>2</v>
      </c>
    </row>
    <row r="241" spans="1:2" x14ac:dyDescent="0.35">
      <c r="A241" s="30">
        <v>0.25</v>
      </c>
      <c r="B241" s="34">
        <v>1</v>
      </c>
    </row>
    <row r="242" spans="1:2" x14ac:dyDescent="0.35">
      <c r="A242" s="30">
        <v>0.26</v>
      </c>
      <c r="B242" s="34">
        <v>1</v>
      </c>
    </row>
    <row r="243" spans="1:2" x14ac:dyDescent="0.35">
      <c r="A243" s="30">
        <v>0.27</v>
      </c>
      <c r="B243" s="34">
        <v>3</v>
      </c>
    </row>
    <row r="244" spans="1:2" x14ac:dyDescent="0.35">
      <c r="A244" s="30">
        <v>0.28999999999999998</v>
      </c>
      <c r="B244" s="34">
        <v>1</v>
      </c>
    </row>
    <row r="245" spans="1:2" x14ac:dyDescent="0.35">
      <c r="A245" s="30">
        <v>0.3</v>
      </c>
      <c r="B245" s="34">
        <v>1</v>
      </c>
    </row>
    <row r="246" spans="1:2" x14ac:dyDescent="0.35">
      <c r="A246" s="30">
        <v>0.32</v>
      </c>
      <c r="B246" s="34">
        <v>1</v>
      </c>
    </row>
    <row r="247" spans="1:2" x14ac:dyDescent="0.35">
      <c r="A247" s="30">
        <v>0.33</v>
      </c>
      <c r="B247" s="34">
        <v>2</v>
      </c>
    </row>
    <row r="248" spans="1:2" x14ac:dyDescent="0.35">
      <c r="A248" s="30">
        <v>0.34</v>
      </c>
      <c r="B248" s="34">
        <v>4</v>
      </c>
    </row>
    <row r="249" spans="1:2" x14ac:dyDescent="0.35">
      <c r="A249" s="30">
        <v>0.35</v>
      </c>
      <c r="B249" s="34">
        <v>2</v>
      </c>
    </row>
    <row r="250" spans="1:2" x14ac:dyDescent="0.35">
      <c r="A250" s="30">
        <v>0.36</v>
      </c>
      <c r="B250" s="34">
        <v>1</v>
      </c>
    </row>
    <row r="251" spans="1:2" x14ac:dyDescent="0.35">
      <c r="A251" s="30">
        <v>0.37</v>
      </c>
      <c r="B251" s="34">
        <v>2</v>
      </c>
    </row>
    <row r="252" spans="1:2" x14ac:dyDescent="0.35">
      <c r="A252" s="30">
        <v>0.38</v>
      </c>
      <c r="B252" s="34">
        <v>4</v>
      </c>
    </row>
    <row r="253" spans="1:2" x14ac:dyDescent="0.35">
      <c r="A253" s="30">
        <v>0.39</v>
      </c>
      <c r="B253" s="34">
        <v>1</v>
      </c>
    </row>
    <row r="254" spans="1:2" x14ac:dyDescent="0.35">
      <c r="A254" s="30">
        <v>0.4</v>
      </c>
      <c r="B254" s="34">
        <v>1</v>
      </c>
    </row>
    <row r="255" spans="1:2" x14ac:dyDescent="0.35">
      <c r="A255" s="30">
        <v>0.41</v>
      </c>
      <c r="B255" s="34">
        <v>3</v>
      </c>
    </row>
    <row r="256" spans="1:2" x14ac:dyDescent="0.35">
      <c r="A256" s="30">
        <v>0.42</v>
      </c>
      <c r="B256" s="34">
        <v>6</v>
      </c>
    </row>
    <row r="257" spans="1:2" x14ac:dyDescent="0.35">
      <c r="A257" s="30">
        <v>0.43</v>
      </c>
      <c r="B257" s="34">
        <v>4</v>
      </c>
    </row>
    <row r="258" spans="1:2" x14ac:dyDescent="0.35">
      <c r="A258" s="30">
        <v>0.45</v>
      </c>
      <c r="B258" s="34">
        <v>4</v>
      </c>
    </row>
    <row r="259" spans="1:2" x14ac:dyDescent="0.35">
      <c r="A259" s="30">
        <v>0.46</v>
      </c>
      <c r="B259" s="34">
        <v>3</v>
      </c>
    </row>
    <row r="260" spans="1:2" x14ac:dyDescent="0.35">
      <c r="A260" s="30">
        <v>0.47</v>
      </c>
      <c r="B260" s="34">
        <v>7</v>
      </c>
    </row>
    <row r="261" spans="1:2" x14ac:dyDescent="0.35">
      <c r="A261" s="30">
        <v>0.48</v>
      </c>
      <c r="B261" s="34">
        <v>4</v>
      </c>
    </row>
    <row r="262" spans="1:2" x14ac:dyDescent="0.35">
      <c r="A262" s="30">
        <v>0.49</v>
      </c>
      <c r="B262" s="34">
        <v>14</v>
      </c>
    </row>
    <row r="263" spans="1:2" x14ac:dyDescent="0.35">
      <c r="A263" s="30">
        <v>0.5</v>
      </c>
      <c r="B263" s="34">
        <v>6</v>
      </c>
    </row>
    <row r="264" spans="1:2" x14ac:dyDescent="0.35">
      <c r="A264" s="30">
        <v>0.51</v>
      </c>
      <c r="B264" s="34">
        <v>1</v>
      </c>
    </row>
    <row r="265" spans="1:2" x14ac:dyDescent="0.35">
      <c r="A265" s="30">
        <v>0.52</v>
      </c>
      <c r="B265" s="34">
        <v>2</v>
      </c>
    </row>
    <row r="266" spans="1:2" x14ac:dyDescent="0.35">
      <c r="A266" s="30">
        <v>0.53</v>
      </c>
      <c r="B266" s="34">
        <v>2</v>
      </c>
    </row>
    <row r="267" spans="1:2" x14ac:dyDescent="0.35">
      <c r="A267" s="30">
        <v>0.54</v>
      </c>
      <c r="B267" s="34">
        <v>2</v>
      </c>
    </row>
    <row r="268" spans="1:2" x14ac:dyDescent="0.35">
      <c r="A268" s="30">
        <v>0.55000000000000004</v>
      </c>
      <c r="B268" s="34">
        <v>3</v>
      </c>
    </row>
    <row r="269" spans="1:2" x14ac:dyDescent="0.35">
      <c r="A269" s="30">
        <v>0.61</v>
      </c>
      <c r="B269" s="34">
        <v>1</v>
      </c>
    </row>
    <row r="270" spans="1:2" x14ac:dyDescent="0.35">
      <c r="A270" s="30" t="s">
        <v>435</v>
      </c>
      <c r="B270" s="34">
        <v>112</v>
      </c>
    </row>
    <row r="273" spans="1:2" x14ac:dyDescent="0.35">
      <c r="A273" t="s">
        <v>458</v>
      </c>
    </row>
    <row r="275" spans="1:2" x14ac:dyDescent="0.35">
      <c r="A275" s="27" t="s">
        <v>434</v>
      </c>
      <c r="B275" t="s">
        <v>436</v>
      </c>
    </row>
    <row r="276" spans="1:2" x14ac:dyDescent="0.35">
      <c r="A276" s="28" t="s">
        <v>459</v>
      </c>
      <c r="B276" s="34">
        <v>4.0842105263157888</v>
      </c>
    </row>
    <row r="277" spans="1:2" x14ac:dyDescent="0.35">
      <c r="A277" s="28" t="s">
        <v>460</v>
      </c>
      <c r="B277" s="34">
        <v>3.6357142857142857</v>
      </c>
    </row>
    <row r="278" spans="1:2" x14ac:dyDescent="0.35">
      <c r="A278" s="28" t="s">
        <v>461</v>
      </c>
      <c r="B278" s="34">
        <v>3.8833333333333333</v>
      </c>
    </row>
    <row r="279" spans="1:2" x14ac:dyDescent="0.35">
      <c r="A279" s="28" t="s">
        <v>435</v>
      </c>
      <c r="B279" s="34">
        <v>3.8894736842105258</v>
      </c>
    </row>
    <row r="282" spans="1:2" x14ac:dyDescent="0.35">
      <c r="A282" t="s">
        <v>462</v>
      </c>
    </row>
    <row r="284" spans="1:2" x14ac:dyDescent="0.35">
      <c r="A284" s="27" t="s">
        <v>434</v>
      </c>
      <c r="B284" t="s">
        <v>437</v>
      </c>
    </row>
    <row r="285" spans="1:2" x14ac:dyDescent="0.35">
      <c r="A285" s="28" t="s">
        <v>396</v>
      </c>
      <c r="B285" s="34">
        <v>327</v>
      </c>
    </row>
    <row r="286" spans="1:2" x14ac:dyDescent="0.35">
      <c r="A286" s="28" t="s">
        <v>398</v>
      </c>
      <c r="B286" s="34">
        <v>48</v>
      </c>
    </row>
    <row r="287" spans="1:2" x14ac:dyDescent="0.35">
      <c r="A287" s="28" t="s">
        <v>394</v>
      </c>
      <c r="B287" s="34">
        <v>348</v>
      </c>
    </row>
    <row r="288" spans="1:2" x14ac:dyDescent="0.35">
      <c r="A288" s="28" t="s">
        <v>435</v>
      </c>
      <c r="B288" s="34">
        <v>723</v>
      </c>
    </row>
    <row r="293" spans="1:2" x14ac:dyDescent="0.35">
      <c r="A293" s="27" t="s">
        <v>434</v>
      </c>
      <c r="B293" t="s">
        <v>437</v>
      </c>
    </row>
    <row r="294" spans="1:2" x14ac:dyDescent="0.35">
      <c r="A294" s="28" t="s">
        <v>395</v>
      </c>
      <c r="B294" s="34">
        <v>265</v>
      </c>
    </row>
    <row r="295" spans="1:2" x14ac:dyDescent="0.35">
      <c r="A295" s="28" t="s">
        <v>397</v>
      </c>
      <c r="B295" s="34">
        <v>289</v>
      </c>
    </row>
    <row r="296" spans="1:2" x14ac:dyDescent="0.35">
      <c r="A296" s="28" t="s">
        <v>399</v>
      </c>
      <c r="B296" s="34"/>
    </row>
    <row r="297" spans="1:2" x14ac:dyDescent="0.35">
      <c r="A297" s="28" t="s">
        <v>400</v>
      </c>
      <c r="B297" s="34">
        <v>169</v>
      </c>
    </row>
    <row r="298" spans="1:2" x14ac:dyDescent="0.35">
      <c r="A298" s="28" t="s">
        <v>435</v>
      </c>
      <c r="B298" s="34">
        <v>723</v>
      </c>
    </row>
  </sheetData>
  <pageMargins left="0.7" right="0.7" top="0.75" bottom="0.75" header="0.3" footer="0.3"/>
  <pageSetup orientation="portrait" r:id="rId15"/>
  <drawing r:id="rId16"/>
  <extLst>
    <ext xmlns:x14="http://schemas.microsoft.com/office/spreadsheetml/2009/9/main" uri="{A8765BA9-456A-4dab-B4F3-ACF838C121DE}">
      <x14:slicerList>
        <x14:slicer r:id="rId1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D781F-66FA-4246-95EA-C7B8B2F0EE62}">
  <dimension ref="A7"/>
  <sheetViews>
    <sheetView topLeftCell="R5" zoomScale="48" zoomScaleNormal="36" workbookViewId="0">
      <selection activeCell="O17" sqref="O17"/>
    </sheetView>
  </sheetViews>
  <sheetFormatPr defaultRowHeight="14.5" x14ac:dyDescent="0.35"/>
  <cols>
    <col min="1" max="7" width="8.7265625" style="31"/>
    <col min="8" max="9" width="8.7265625" style="31" customWidth="1"/>
    <col min="10" max="10" width="3.7265625" style="31" customWidth="1"/>
    <col min="11" max="12" width="8.7265625" style="31" customWidth="1"/>
    <col min="13" max="16384" width="8.7265625" style="31"/>
  </cols>
  <sheetData>
    <row r="7" spans="1:1" x14ac:dyDescent="0.35">
      <c r="A7" s="31" t="str">
        <f ca="1">"Last Refreshed: "&amp;TEXT(TODAY(),"dd mmm yyyy")</f>
        <v>Last Refreshed: 05 Sep 2026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A024B-9A11-4141-B44F-436B48542D76}">
  <dimension ref="A1:C59"/>
  <sheetViews>
    <sheetView workbookViewId="0">
      <selection activeCell="B55" sqref="B55"/>
    </sheetView>
  </sheetViews>
  <sheetFormatPr defaultRowHeight="14.5" x14ac:dyDescent="0.35"/>
  <cols>
    <col min="1" max="1" width="28.81640625" customWidth="1"/>
    <col min="2" max="2" width="36.08984375" customWidth="1"/>
    <col min="3" max="3" width="13.7265625" customWidth="1"/>
  </cols>
  <sheetData>
    <row r="1" spans="1:2" x14ac:dyDescent="0.35">
      <c r="A1" s="24" t="s">
        <v>336</v>
      </c>
      <c r="B1" s="24" t="s">
        <v>323</v>
      </c>
    </row>
    <row r="2" spans="1:2" x14ac:dyDescent="0.35">
      <c r="A2" t="s">
        <v>324</v>
      </c>
      <c r="B2">
        <v>116</v>
      </c>
    </row>
    <row r="3" spans="1:2" x14ac:dyDescent="0.35">
      <c r="A3" t="s">
        <v>325</v>
      </c>
      <c r="B3">
        <v>6</v>
      </c>
    </row>
    <row r="4" spans="1:2" x14ac:dyDescent="0.35">
      <c r="A4" t="s">
        <v>326</v>
      </c>
      <c r="B4" t="s">
        <v>525</v>
      </c>
    </row>
    <row r="5" spans="1:2" x14ac:dyDescent="0.35">
      <c r="A5" t="s">
        <v>327</v>
      </c>
      <c r="B5">
        <v>0</v>
      </c>
    </row>
    <row r="6" spans="1:2" x14ac:dyDescent="0.35">
      <c r="A6" t="s">
        <v>328</v>
      </c>
      <c r="B6">
        <v>0</v>
      </c>
    </row>
    <row r="7" spans="1:2" x14ac:dyDescent="0.35">
      <c r="A7" t="s">
        <v>329</v>
      </c>
      <c r="B7">
        <v>0</v>
      </c>
    </row>
    <row r="8" spans="1:2" x14ac:dyDescent="0.35">
      <c r="A8" t="s">
        <v>330</v>
      </c>
      <c r="B8">
        <v>0</v>
      </c>
    </row>
    <row r="9" spans="1:2" x14ac:dyDescent="0.35">
      <c r="A9" t="s">
        <v>331</v>
      </c>
      <c r="B9">
        <v>0</v>
      </c>
    </row>
    <row r="10" spans="1:2" x14ac:dyDescent="0.35">
      <c r="A10" t="s">
        <v>332</v>
      </c>
      <c r="B10">
        <v>0</v>
      </c>
    </row>
    <row r="11" spans="1:2" x14ac:dyDescent="0.35">
      <c r="A11" t="s">
        <v>333</v>
      </c>
      <c r="B11">
        <v>0</v>
      </c>
    </row>
    <row r="12" spans="1:2" x14ac:dyDescent="0.35">
      <c r="A12" t="s">
        <v>334</v>
      </c>
      <c r="B12">
        <v>0</v>
      </c>
    </row>
    <row r="13" spans="1:2" x14ac:dyDescent="0.35">
      <c r="A13" t="s">
        <v>335</v>
      </c>
      <c r="B13">
        <v>2</v>
      </c>
    </row>
    <row r="16" spans="1:2" x14ac:dyDescent="0.35">
      <c r="A16" s="24" t="s">
        <v>403</v>
      </c>
    </row>
    <row r="17" spans="1:3" x14ac:dyDescent="0.35">
      <c r="A17" t="s">
        <v>401</v>
      </c>
      <c r="B17" t="s">
        <v>466</v>
      </c>
    </row>
    <row r="18" spans="1:3" x14ac:dyDescent="0.35">
      <c r="A18" t="s">
        <v>402</v>
      </c>
      <c r="B18" t="s">
        <v>467</v>
      </c>
    </row>
    <row r="19" spans="1:3" x14ac:dyDescent="0.35">
      <c r="A19" t="s">
        <v>405</v>
      </c>
      <c r="B19" t="s">
        <v>468</v>
      </c>
    </row>
    <row r="21" spans="1:3" x14ac:dyDescent="0.35">
      <c r="A21" s="24" t="s">
        <v>469</v>
      </c>
      <c r="B21" s="24" t="s">
        <v>470</v>
      </c>
      <c r="C21" s="24" t="s">
        <v>471</v>
      </c>
    </row>
    <row r="22" spans="1:3" x14ac:dyDescent="0.35">
      <c r="A22" t="s">
        <v>472</v>
      </c>
      <c r="B22" t="s">
        <v>477</v>
      </c>
      <c r="C22" t="s">
        <v>473</v>
      </c>
    </row>
    <row r="23" spans="1:3" x14ac:dyDescent="0.35">
      <c r="A23" t="s">
        <v>474</v>
      </c>
      <c r="B23" t="s">
        <v>475</v>
      </c>
      <c r="C23" t="s">
        <v>476</v>
      </c>
    </row>
    <row r="24" spans="1:3" x14ac:dyDescent="0.35">
      <c r="A24" t="s">
        <v>498</v>
      </c>
      <c r="B24" t="s">
        <v>477</v>
      </c>
      <c r="C24" t="s">
        <v>478</v>
      </c>
    </row>
    <row r="25" spans="1:3" x14ac:dyDescent="0.35">
      <c r="A25" t="s">
        <v>497</v>
      </c>
      <c r="B25" t="s">
        <v>499</v>
      </c>
      <c r="C25" t="s">
        <v>479</v>
      </c>
    </row>
    <row r="26" spans="1:3" x14ac:dyDescent="0.35">
      <c r="A26" t="s">
        <v>501</v>
      </c>
      <c r="B26" t="s">
        <v>502</v>
      </c>
      <c r="C26" t="s">
        <v>503</v>
      </c>
    </row>
    <row r="27" spans="1:3" x14ac:dyDescent="0.35">
      <c r="A27" t="s">
        <v>527</v>
      </c>
      <c r="B27" t="s">
        <v>526</v>
      </c>
      <c r="C27" t="s">
        <v>500</v>
      </c>
    </row>
    <row r="28" spans="1:3" x14ac:dyDescent="0.35">
      <c r="A28" t="s">
        <v>529</v>
      </c>
      <c r="B28" t="s">
        <v>530</v>
      </c>
      <c r="C28" t="s">
        <v>476</v>
      </c>
    </row>
    <row r="29" spans="1:3" x14ac:dyDescent="0.35">
      <c r="A29" s="38" t="s">
        <v>528</v>
      </c>
      <c r="B29" t="s">
        <v>531</v>
      </c>
      <c r="C29" t="s">
        <v>476</v>
      </c>
    </row>
    <row r="34" spans="1:3" ht="18.5" customHeight="1" x14ac:dyDescent="0.35">
      <c r="A34" s="36" t="s">
        <v>480</v>
      </c>
      <c r="B34" s="36" t="s">
        <v>481</v>
      </c>
      <c r="C34" s="36" t="s">
        <v>482</v>
      </c>
    </row>
    <row r="35" spans="1:3" ht="20.5" customHeight="1" x14ac:dyDescent="0.35">
      <c r="A35" s="35" t="s">
        <v>0</v>
      </c>
      <c r="B35" s="35" t="s">
        <v>483</v>
      </c>
      <c r="C35" s="35" t="s">
        <v>484</v>
      </c>
    </row>
    <row r="36" spans="1:3" ht="15" customHeight="1" x14ac:dyDescent="0.35">
      <c r="A36" s="35" t="s">
        <v>392</v>
      </c>
      <c r="B36" s="35" t="s">
        <v>485</v>
      </c>
      <c r="C36" s="35" t="s">
        <v>486</v>
      </c>
    </row>
    <row r="37" spans="1:3" ht="14.5" customHeight="1" x14ac:dyDescent="0.35">
      <c r="A37" s="35" t="s">
        <v>487</v>
      </c>
      <c r="B37" s="35" t="s">
        <v>488</v>
      </c>
      <c r="C37" s="35" t="s">
        <v>486</v>
      </c>
    </row>
    <row r="38" spans="1:3" ht="18" customHeight="1" x14ac:dyDescent="0.35">
      <c r="A38" s="35" t="s">
        <v>337</v>
      </c>
      <c r="B38" s="35" t="s">
        <v>532</v>
      </c>
      <c r="C38" s="35" t="s">
        <v>486</v>
      </c>
    </row>
    <row r="39" spans="1:3" ht="21" customHeight="1" x14ac:dyDescent="0.35">
      <c r="A39" s="35" t="s">
        <v>489</v>
      </c>
      <c r="B39" s="35" t="s">
        <v>490</v>
      </c>
      <c r="C39" s="35" t="s">
        <v>491</v>
      </c>
    </row>
    <row r="40" spans="1:3" ht="29" x14ac:dyDescent="0.35">
      <c r="A40" s="35" t="s">
        <v>492</v>
      </c>
      <c r="B40" s="35" t="s">
        <v>493</v>
      </c>
      <c r="C40" s="35" t="s">
        <v>486</v>
      </c>
    </row>
    <row r="41" spans="1:3" ht="29" x14ac:dyDescent="0.35">
      <c r="A41" s="35" t="s">
        <v>393</v>
      </c>
      <c r="B41" s="35" t="s">
        <v>494</v>
      </c>
      <c r="C41" s="35" t="s">
        <v>484</v>
      </c>
    </row>
    <row r="42" spans="1:3" ht="58" x14ac:dyDescent="0.35">
      <c r="A42" s="35" t="s">
        <v>504</v>
      </c>
      <c r="B42" s="35" t="s">
        <v>505</v>
      </c>
      <c r="C42" s="35" t="s">
        <v>484</v>
      </c>
    </row>
    <row r="43" spans="1:3" ht="43.5" x14ac:dyDescent="0.35">
      <c r="A43" s="35" t="s">
        <v>393</v>
      </c>
      <c r="B43" s="35" t="s">
        <v>506</v>
      </c>
      <c r="C43" s="35" t="s">
        <v>484</v>
      </c>
    </row>
    <row r="44" spans="1:3" ht="43.5" x14ac:dyDescent="0.35">
      <c r="A44" s="35" t="s">
        <v>507</v>
      </c>
      <c r="B44" s="35" t="s">
        <v>508</v>
      </c>
      <c r="C44" s="35" t="s">
        <v>486</v>
      </c>
    </row>
    <row r="45" spans="1:3" ht="58" x14ac:dyDescent="0.35">
      <c r="A45" s="35" t="s">
        <v>388</v>
      </c>
      <c r="B45" s="35" t="s">
        <v>509</v>
      </c>
      <c r="C45" s="35" t="s">
        <v>484</v>
      </c>
    </row>
    <row r="46" spans="1:3" ht="58" x14ac:dyDescent="0.35">
      <c r="A46" s="35" t="s">
        <v>387</v>
      </c>
      <c r="B46" s="35" t="s">
        <v>510</v>
      </c>
      <c r="C46" s="35" t="s">
        <v>484</v>
      </c>
    </row>
    <row r="47" spans="1:3" ht="43.5" x14ac:dyDescent="0.35">
      <c r="A47" s="35" t="s">
        <v>409</v>
      </c>
      <c r="B47" s="35" t="s">
        <v>511</v>
      </c>
      <c r="C47" s="35" t="s">
        <v>484</v>
      </c>
    </row>
    <row r="48" spans="1:3" ht="58" x14ac:dyDescent="0.35">
      <c r="A48" s="35" t="s">
        <v>512</v>
      </c>
      <c r="B48" s="35" t="s">
        <v>513</v>
      </c>
      <c r="C48" s="35" t="s">
        <v>484</v>
      </c>
    </row>
    <row r="49" spans="1:3" ht="43.5" x14ac:dyDescent="0.35">
      <c r="A49" s="35" t="s">
        <v>389</v>
      </c>
      <c r="B49" s="35" t="s">
        <v>514</v>
      </c>
      <c r="C49" s="35" t="s">
        <v>484</v>
      </c>
    </row>
    <row r="50" spans="1:3" ht="29" x14ac:dyDescent="0.35">
      <c r="A50" s="35" t="s">
        <v>515</v>
      </c>
      <c r="B50" s="35" t="s">
        <v>516</v>
      </c>
      <c r="C50" s="35" t="s">
        <v>484</v>
      </c>
    </row>
    <row r="51" spans="1:3" ht="43.5" x14ac:dyDescent="0.35">
      <c r="A51" s="35" t="s">
        <v>517</v>
      </c>
      <c r="B51" s="35" t="s">
        <v>518</v>
      </c>
      <c r="C51" s="35" t="s">
        <v>484</v>
      </c>
    </row>
    <row r="52" spans="1:3" ht="29" x14ac:dyDescent="0.35">
      <c r="A52" s="35" t="s">
        <v>519</v>
      </c>
      <c r="B52" s="35" t="s">
        <v>520</v>
      </c>
      <c r="C52" s="35" t="s">
        <v>484</v>
      </c>
    </row>
    <row r="54" spans="1:3" x14ac:dyDescent="0.35">
      <c r="A54" s="37" t="s">
        <v>496</v>
      </c>
    </row>
    <row r="55" spans="1:3" x14ac:dyDescent="0.35">
      <c r="A55" t="s">
        <v>495</v>
      </c>
    </row>
    <row r="56" spans="1:3" x14ac:dyDescent="0.35">
      <c r="A56" t="s">
        <v>521</v>
      </c>
    </row>
    <row r="57" spans="1:3" x14ac:dyDescent="0.35">
      <c r="A57" t="s">
        <v>522</v>
      </c>
    </row>
    <row r="58" spans="1:3" x14ac:dyDescent="0.35">
      <c r="A58" t="s">
        <v>524</v>
      </c>
    </row>
    <row r="59" spans="1:3" x14ac:dyDescent="0.35">
      <c r="A59" t="s">
        <v>523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Excel_jumia_dataset (1)</vt:lpstr>
      <vt:lpstr>CLEANED</vt:lpstr>
      <vt:lpstr>analysis sheet</vt:lpstr>
      <vt:lpstr>Pivot table</vt:lpstr>
      <vt:lpstr>DASHBOARD</vt:lpstr>
      <vt:lpstr>data dictonary</vt:lpstr>
      <vt:lpstr>Price_Q1</vt:lpstr>
      <vt:lpstr>Price_Q3</vt:lpstr>
      <vt:lpstr>Review_Q3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dc:creator>
  <cp:lastModifiedBy>kb</cp:lastModifiedBy>
  <dcterms:created xsi:type="dcterms:W3CDTF">2026-09-02T18:54:03Z</dcterms:created>
  <dcterms:modified xsi:type="dcterms:W3CDTF">2026-09-05T19:51:58Z</dcterms:modified>
</cp:coreProperties>
</file>